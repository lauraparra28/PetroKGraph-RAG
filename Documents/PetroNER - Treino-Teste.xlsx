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laura\ICA\PhD 2026\DoutoradoLaura\"/>
    </mc:Choice>
  </mc:AlternateContent>
  <xr:revisionPtr revIDLastSave="0" documentId="13_ncr:1_{CD0C7997-BBC2-4012-B7DA-4E8A522D820D}" xr6:coauthVersionLast="47" xr6:coauthVersionMax="47" xr10:uidLastSave="{00000000-0000-0000-0000-000000000000}"/>
  <bookViews>
    <workbookView xWindow="-2988" yWindow="-17388" windowWidth="30936" windowHeight="16776" xr2:uid="{4E6D991A-D155-4BF1-802C-F54F28DFBD86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H20" i="2"/>
  <c r="F91" i="2"/>
  <c r="F92" i="2"/>
  <c r="F93" i="2"/>
  <c r="F94" i="2"/>
  <c r="F95" i="2"/>
  <c r="F96" i="2"/>
  <c r="F31" i="2" l="1"/>
  <c r="N101" i="2"/>
  <c r="N100" i="2"/>
  <c r="N92" i="2"/>
  <c r="N84" i="2"/>
  <c r="N74" i="2"/>
  <c r="N66" i="2"/>
  <c r="N65" i="2"/>
  <c r="N57" i="2"/>
  <c r="N49" i="2"/>
  <c r="N48" i="2"/>
  <c r="N40" i="2"/>
  <c r="N31" i="2"/>
  <c r="N21" i="2"/>
  <c r="N12" i="2"/>
  <c r="N11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/>
  <c r="L102" i="2"/>
  <c r="M102" i="2"/>
  <c r="L103" i="2"/>
  <c r="M103" i="2"/>
  <c r="L104" i="2"/>
  <c r="M104" i="2"/>
  <c r="L105" i="2"/>
  <c r="M105" i="2"/>
  <c r="L106" i="2"/>
  <c r="M106" i="2"/>
  <c r="L107" i="2"/>
  <c r="M107" i="2"/>
  <c r="L108" i="2"/>
  <c r="M108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M5" i="2"/>
  <c r="F102" i="2"/>
  <c r="I102" i="2" s="1"/>
  <c r="N102" i="2" s="1"/>
  <c r="F103" i="2"/>
  <c r="H103" i="2" s="1"/>
  <c r="N103" i="2" s="1"/>
  <c r="F104" i="2"/>
  <c r="H104" i="2" s="1"/>
  <c r="N104" i="2" s="1"/>
  <c r="F105" i="2"/>
  <c r="H105" i="2" s="1"/>
  <c r="N105" i="2" s="1"/>
  <c r="F106" i="2"/>
  <c r="H106" i="2" s="1"/>
  <c r="N106" i="2" s="1"/>
  <c r="F107" i="2"/>
  <c r="H107" i="2" s="1"/>
  <c r="N107" i="2" s="1"/>
  <c r="F108" i="2"/>
  <c r="H108" i="2" s="1"/>
  <c r="N108" i="2" s="1"/>
  <c r="F101" i="2"/>
  <c r="J101" i="2" s="1"/>
  <c r="F100" i="2"/>
  <c r="J100" i="2" s="1"/>
  <c r="F87" i="2"/>
  <c r="H87" i="2" s="1"/>
  <c r="N87" i="2" s="1"/>
  <c r="F88" i="2"/>
  <c r="H88" i="2" s="1"/>
  <c r="N88" i="2" s="1"/>
  <c r="F89" i="2"/>
  <c r="H89" i="2" s="1"/>
  <c r="N89" i="2" s="1"/>
  <c r="F90" i="2"/>
  <c r="H90" i="2" s="1"/>
  <c r="N90" i="2" s="1"/>
  <c r="H91" i="2"/>
  <c r="N91" i="2" s="1"/>
  <c r="J92" i="2"/>
  <c r="I93" i="2"/>
  <c r="N93" i="2" s="1"/>
  <c r="I94" i="2"/>
  <c r="N94" i="2" s="1"/>
  <c r="H95" i="2"/>
  <c r="N95" i="2" s="1"/>
  <c r="H96" i="2"/>
  <c r="N96" i="2" s="1"/>
  <c r="F97" i="2"/>
  <c r="H97" i="2" s="1"/>
  <c r="N97" i="2" s="1"/>
  <c r="F98" i="2"/>
  <c r="H98" i="2" s="1"/>
  <c r="N98" i="2" s="1"/>
  <c r="F99" i="2"/>
  <c r="H99" i="2" s="1"/>
  <c r="N99" i="2" s="1"/>
  <c r="F86" i="2"/>
  <c r="H86" i="2" s="1"/>
  <c r="N86" i="2" s="1"/>
  <c r="F85" i="2"/>
  <c r="I85" i="2" s="1"/>
  <c r="N85" i="2" s="1"/>
  <c r="F79" i="2"/>
  <c r="H79" i="2" s="1"/>
  <c r="N79" i="2" s="1"/>
  <c r="F80" i="2"/>
  <c r="H80" i="2" s="1"/>
  <c r="N80" i="2" s="1"/>
  <c r="F81" i="2"/>
  <c r="H81" i="2" s="1"/>
  <c r="N81" i="2" s="1"/>
  <c r="F82" i="2"/>
  <c r="H82" i="2" s="1"/>
  <c r="N82" i="2" s="1"/>
  <c r="F83" i="2"/>
  <c r="H83" i="2" s="1"/>
  <c r="N83" i="2" s="1"/>
  <c r="F84" i="2"/>
  <c r="J84" i="2" s="1"/>
  <c r="F78" i="2"/>
  <c r="H78" i="2" s="1"/>
  <c r="N78" i="2" s="1"/>
  <c r="F77" i="2"/>
  <c r="H77" i="2" s="1"/>
  <c r="N77" i="2" s="1"/>
  <c r="F71" i="2"/>
  <c r="H71" i="2" s="1"/>
  <c r="N71" i="2" s="1"/>
  <c r="F72" i="2"/>
  <c r="H72" i="2" s="1"/>
  <c r="N72" i="2" s="1"/>
  <c r="F73" i="2"/>
  <c r="H73" i="2" s="1"/>
  <c r="N73" i="2" s="1"/>
  <c r="F74" i="2"/>
  <c r="J74" i="2" s="1"/>
  <c r="F75" i="2"/>
  <c r="I75" i="2" s="1"/>
  <c r="N75" i="2" s="1"/>
  <c r="F76" i="2"/>
  <c r="I76" i="2" s="1"/>
  <c r="N76" i="2" s="1"/>
  <c r="F70" i="2"/>
  <c r="H70" i="2" s="1"/>
  <c r="N70" i="2" s="1"/>
  <c r="F69" i="2"/>
  <c r="H69" i="2" s="1"/>
  <c r="N69" i="2" s="1"/>
  <c r="F65" i="2"/>
  <c r="J65" i="2" s="1"/>
  <c r="F66" i="2"/>
  <c r="J66" i="2" s="1"/>
  <c r="F67" i="2"/>
  <c r="I67" i="2" s="1"/>
  <c r="N67" i="2" s="1"/>
  <c r="F68" i="2"/>
  <c r="I68" i="2" s="1"/>
  <c r="N68" i="2" s="1"/>
  <c r="F60" i="2"/>
  <c r="H60" i="2" s="1"/>
  <c r="N60" i="2" s="1"/>
  <c r="F61" i="2"/>
  <c r="H61" i="2" s="1"/>
  <c r="N61" i="2" s="1"/>
  <c r="F62" i="2"/>
  <c r="H62" i="2" s="1"/>
  <c r="N62" i="2" s="1"/>
  <c r="F63" i="2"/>
  <c r="H63" i="2" s="1"/>
  <c r="N63" i="2" s="1"/>
  <c r="F64" i="2"/>
  <c r="H64" i="2" s="1"/>
  <c r="N64" i="2" s="1"/>
  <c r="F59" i="2"/>
  <c r="H59" i="2" s="1"/>
  <c r="N59" i="2" s="1"/>
  <c r="F52" i="2"/>
  <c r="H52" i="2" s="1"/>
  <c r="N52" i="2" s="1"/>
  <c r="F53" i="2"/>
  <c r="H53" i="2" s="1"/>
  <c r="N53" i="2" s="1"/>
  <c r="F54" i="2"/>
  <c r="H54" i="2" s="1"/>
  <c r="N54" i="2" s="1"/>
  <c r="F55" i="2"/>
  <c r="H55" i="2" s="1"/>
  <c r="N55" i="2" s="1"/>
  <c r="F56" i="2"/>
  <c r="H56" i="2" s="1"/>
  <c r="N56" i="2" s="1"/>
  <c r="F57" i="2"/>
  <c r="J57" i="2" s="1"/>
  <c r="F58" i="2"/>
  <c r="I58" i="2" s="1"/>
  <c r="N58" i="2" s="1"/>
  <c r="F51" i="2"/>
  <c r="H51" i="2" s="1"/>
  <c r="N51" i="2" s="1"/>
  <c r="F50" i="2"/>
  <c r="H50" i="2" s="1"/>
  <c r="N50" i="2" s="1"/>
  <c r="F48" i="2"/>
  <c r="J48" i="2" s="1"/>
  <c r="F49" i="2"/>
  <c r="J49" i="2" s="1"/>
  <c r="F43" i="2"/>
  <c r="H43" i="2" s="1"/>
  <c r="N43" i="2" s="1"/>
  <c r="F44" i="2"/>
  <c r="H44" i="2" s="1"/>
  <c r="N44" i="2" s="1"/>
  <c r="F45" i="2"/>
  <c r="H45" i="2" s="1"/>
  <c r="N45" i="2" s="1"/>
  <c r="F46" i="2"/>
  <c r="H46" i="2" s="1"/>
  <c r="N46" i="2" s="1"/>
  <c r="F47" i="2"/>
  <c r="H47" i="2" s="1"/>
  <c r="N47" i="2" s="1"/>
  <c r="F42" i="2"/>
  <c r="H42" i="2" s="1"/>
  <c r="N42" i="2" s="1"/>
  <c r="J31" i="2"/>
  <c r="F32" i="2"/>
  <c r="I32" i="2" s="1"/>
  <c r="N32" i="2" s="1"/>
  <c r="F33" i="2"/>
  <c r="H33" i="2" s="1"/>
  <c r="N33" i="2" s="1"/>
  <c r="F34" i="2"/>
  <c r="H34" i="2" s="1"/>
  <c r="N34" i="2" s="1"/>
  <c r="F35" i="2"/>
  <c r="H35" i="2" s="1"/>
  <c r="N35" i="2" s="1"/>
  <c r="F36" i="2"/>
  <c r="H36" i="2" s="1"/>
  <c r="N36" i="2" s="1"/>
  <c r="F37" i="2"/>
  <c r="H37" i="2" s="1"/>
  <c r="N37" i="2" s="1"/>
  <c r="F38" i="2"/>
  <c r="H38" i="2" s="1"/>
  <c r="N38" i="2" s="1"/>
  <c r="F39" i="2"/>
  <c r="H39" i="2" s="1"/>
  <c r="N39" i="2" s="1"/>
  <c r="F40" i="2"/>
  <c r="J40" i="2" s="1"/>
  <c r="F41" i="2"/>
  <c r="I41" i="2" s="1"/>
  <c r="N41" i="2" s="1"/>
  <c r="F30" i="2"/>
  <c r="H30" i="2" s="1"/>
  <c r="N30" i="2" s="1"/>
  <c r="F29" i="2"/>
  <c r="H29" i="2" s="1"/>
  <c r="N29" i="2" s="1"/>
  <c r="F28" i="2"/>
  <c r="H28" i="2" s="1"/>
  <c r="N28" i="2" s="1"/>
  <c r="F27" i="2"/>
  <c r="H27" i="2" s="1"/>
  <c r="N27" i="2" s="1"/>
  <c r="F26" i="2"/>
  <c r="H26" i="2" s="1"/>
  <c r="N26" i="2" s="1"/>
  <c r="F25" i="2"/>
  <c r="H25" i="2" s="1"/>
  <c r="N25" i="2" s="1"/>
  <c r="F24" i="2"/>
  <c r="H24" i="2" s="1"/>
  <c r="N24" i="2" s="1"/>
  <c r="F23" i="2"/>
  <c r="I23" i="2" s="1"/>
  <c r="N23" i="2" s="1"/>
  <c r="F22" i="2"/>
  <c r="I22" i="2" s="1"/>
  <c r="N22" i="2" s="1"/>
  <c r="F21" i="2"/>
  <c r="J21" i="2" s="1"/>
  <c r="F20" i="2"/>
  <c r="N20" i="2" s="1"/>
  <c r="F19" i="2"/>
  <c r="H19" i="2" s="1"/>
  <c r="N19" i="2" s="1"/>
  <c r="F18" i="2"/>
  <c r="H18" i="2" s="1"/>
  <c r="N18" i="2" s="1"/>
  <c r="F17" i="2"/>
  <c r="H17" i="2" s="1"/>
  <c r="N17" i="2" s="1"/>
  <c r="F6" i="2"/>
  <c r="H6" i="2" s="1"/>
  <c r="N6" i="2" s="1"/>
  <c r="F7" i="2"/>
  <c r="H7" i="2" s="1"/>
  <c r="N7" i="2" s="1"/>
  <c r="F8" i="2"/>
  <c r="H8" i="2" s="1"/>
  <c r="N8" i="2" s="1"/>
  <c r="F9" i="2"/>
  <c r="H9" i="2" s="1"/>
  <c r="N9" i="2" s="1"/>
  <c r="F10" i="2"/>
  <c r="H10" i="2" s="1"/>
  <c r="N10" i="2" s="1"/>
  <c r="F11" i="2"/>
  <c r="J11" i="2" s="1"/>
  <c r="F12" i="2"/>
  <c r="J12" i="2" s="1"/>
  <c r="F13" i="2"/>
  <c r="I13" i="2" s="1"/>
  <c r="N13" i="2" s="1"/>
  <c r="F14" i="2"/>
  <c r="I14" i="2" s="1"/>
  <c r="N14" i="2" s="1"/>
  <c r="F15" i="2"/>
  <c r="H15" i="2" s="1"/>
  <c r="N15" i="2" s="1"/>
  <c r="F16" i="2"/>
  <c r="H16" i="2" s="1"/>
  <c r="N16" i="2" s="1"/>
  <c r="F5" i="2"/>
  <c r="H5" i="2" s="1"/>
  <c r="N5" i="2" s="1"/>
</calcChain>
</file>

<file path=xl/sharedStrings.xml><?xml version="1.0" encoding="utf-8"?>
<sst xmlns="http://schemas.openxmlformats.org/spreadsheetml/2006/main" count="325" uniqueCount="135">
  <si>
    <t>boletins-000008</t>
  </si>
  <si>
    <t>boletins-000006</t>
  </si>
  <si>
    <t>boletins-000001</t>
  </si>
  <si>
    <t>boletins-000002</t>
  </si>
  <si>
    <t>boletins-000011</t>
  </si>
  <si>
    <t>boletins-000004</t>
  </si>
  <si>
    <t>boletins-000003</t>
  </si>
  <si>
    <t>boletins-000005</t>
  </si>
  <si>
    <t>boletins-000010</t>
  </si>
  <si>
    <t>BGP V.10</t>
  </si>
  <si>
    <t>BGP V.11</t>
  </si>
  <si>
    <t>Código CONLLU</t>
  </si>
  <si>
    <t>Quantidade de sentenças</t>
  </si>
  <si>
    <t>boletins-000009</t>
  </si>
  <si>
    <t>BGP V.13 N.2</t>
  </si>
  <si>
    <t>BGP V.13 N.1</t>
  </si>
  <si>
    <t>BGP V.12 N.2</t>
  </si>
  <si>
    <t>BGP V.12 N.1</t>
  </si>
  <si>
    <t>BGP V.14 N.2</t>
  </si>
  <si>
    <t>BGP V.14 N.1</t>
  </si>
  <si>
    <t>BGP V.1 N.1</t>
  </si>
  <si>
    <t>BGP V.1 N.2</t>
  </si>
  <si>
    <t>Treino</t>
  </si>
  <si>
    <t>Teste</t>
  </si>
  <si>
    <t>Divisão por volumes</t>
  </si>
  <si>
    <t>Arquivo volume</t>
  </si>
  <si>
    <t>Arquivo artigo</t>
  </si>
  <si>
    <t>Sentença inicial</t>
  </si>
  <si>
    <t>Sentença final</t>
  </si>
  <si>
    <t>BGP_1987_1_1_05_Bioestratigrafia_dos_nanofosseis_calcarios_do_meso...pdf</t>
  </si>
  <si>
    <t>BGP_1987_1_1_06_Experimentos_com_modelagem_fisica_de_processos...pdf</t>
  </si>
  <si>
    <t>BGP_1987_1_1_07_Formacao_Sergi_evolucao_de_conceitos...pdf</t>
  </si>
  <si>
    <t>BGP_1987_1_1_08_O_habitat_do_petroleo_e_as_perspectivas_exploratorias...pdf</t>
  </si>
  <si>
    <t>BGP_1987_1_1_09_Integracao_da_bacia_Sergipe_Alagoas...pdf</t>
  </si>
  <si>
    <t>BGP_1987_1_1_10_Modelagem_de_atenuacao_e_dispersao_dissipativas...pdf</t>
  </si>
  <si>
    <t>BGP_1987_1_1_11_Modelagem_gravimetrica_da_porcao_terrestre...pdf</t>
  </si>
  <si>
    <t>BGP_1987_1_1_12_Origem_e_classificacao_dos_hidrocarbonetos_da_bacia...pdf</t>
  </si>
  <si>
    <t>BGP_1987_1_1_13_Proposta_de_um_sistema_estatistico_de_descricao...pdf</t>
  </si>
  <si>
    <t>BGP_1987_1_1_14_Rastreamento_das_facies_diageneticas_e_da_permeailidade...pdf</t>
  </si>
  <si>
    <t>BGP_1987_1_1_15_Breves_Comunicacoes_Uma_reflexao_historica_em_torno...pdf</t>
  </si>
  <si>
    <t>BGP_1987_1_1_15_Ocorrencia_de_peixes...pdf</t>
  </si>
  <si>
    <t>BGP_1987_1_2_04_Concepcao_atual_sobre_as_bacias_do_Tucano...pdf</t>
  </si>
  <si>
    <t>BGP_1987_1_2_05_Cretaceo_da_plataforma_continental_do_Maranhao...pdf</t>
  </si>
  <si>
    <t>BGP_1987_1_2_06_Desenvolvimento_da_metodologia_de_preparacao...pdf</t>
  </si>
  <si>
    <t>BGP_1987_1_2_07_Estratigrafia_isotopica_de_sequencias_Carbonaticas...pdf</t>
  </si>
  <si>
    <t>BGP_1987_1_2_08_Gradiente_geotermico_da_bacia_de_Campos.pdf</t>
  </si>
  <si>
    <t>BGP_1987_1_2_09_Interpretacao_e_aplicacao_do_perfil_de_mergulho...pdf</t>
  </si>
  <si>
    <t>BGP_1987_1_2_10_Metodo_pratico_de_preparacao_palinologica...pdf</t>
  </si>
  <si>
    <t>BGP_1987_1_2_11_Modelo_deposicional_dos_reservatorios_turbiditicos...pdf</t>
  </si>
  <si>
    <t>BGP_1987_1_2_12_Nanofosseis_Calcarios_duas_novas...pdf</t>
  </si>
  <si>
    <t>BGP_1987_1_2_13_Bacia_Sao_Francisco.pdf</t>
  </si>
  <si>
    <t>BGP_1987_1_2_13_Bioestratigrafia_quantitativa.pdf</t>
  </si>
  <si>
    <t>BGP_1987_1_2_13_Evolucao_deposicional.pdf</t>
  </si>
  <si>
    <t>BGP_1987_1_2_13_Ocorrencia_de_acritarchae.pdf</t>
  </si>
  <si>
    <t>BGP_1987_1_2_13_Tempestades_como_agentes.pdf</t>
  </si>
  <si>
    <t>BGP_1996_10_1_4_04_Analise_cronoestratigrafica_de_rifts_intracontinentais...pdf</t>
  </si>
  <si>
    <t>BGP_1996_10_1_4_05_Biozonas_de_nanofosseis_do_Cretaceo_da_margem...pdf</t>
  </si>
  <si>
    <t>BGP_1996_10_1_4_06_Caracterizacao_dos_reservatorios_da_Formacao_Paracuru...pdf</t>
  </si>
  <si>
    <t>BGP_1996_10_1_4_07_Conodontes_do_Carbonifero_inferior_da_Bacia_do_Amazonas.pdf</t>
  </si>
  <si>
    <t>BGP_1996_10_1_4_08_Diagenese_dos_arenitos_do_membro_Mucuri...pdf</t>
  </si>
  <si>
    <t>BGP_1996_10_1_4_09_Evolucao_tectonica_da_area_de_Ubarana...pdf</t>
  </si>
  <si>
    <t>BGP_1996_10_1_4_10_Exemplo_de_modelagem_geologica_aplicada...pdf</t>
  </si>
  <si>
    <t>BGP_1996_10_1_4_11_A_expressao_de_reativacoes_pos_intrusao...pdf</t>
  </si>
  <si>
    <t>BGP_1996_10_1_4_12_Geologia_e_fator_de_recuperacao_dos_reservatorios_brasileiros.pdf</t>
  </si>
  <si>
    <t>BGP_1996_10_1_4_13_O_inicio_da_livre_circulacao_das_aguas_do_Oceano_Atlantico.pdf</t>
  </si>
  <si>
    <t>BGP_1996_10_1_4_14_O_limite_morrowanoatokano_na_Bacia_do_Amazonas...pdf</t>
  </si>
  <si>
    <t>BGP_1997_11_1-2_03_Analise_comparativa_da_Paleogeologia_dos_litorais...pdf</t>
  </si>
  <si>
    <t>BGP_1997_11_1-2_04_Aspectos_praticos_relativos_ao_procedimento...pdf</t>
  </si>
  <si>
    <t>BGP_1997_11_1-2_05_Aplicacao_dos_dados_isotopicos_de_carbono...pdf</t>
  </si>
  <si>
    <t>BGP_1997_11_1-2_06_Contribuicao_para_o_estudo_da_evolucao...pdf</t>
  </si>
  <si>
    <t>BGP_1997_11_1-2_07_Halitas_das_salina_de_Cabo_Frio...pdf</t>
  </si>
  <si>
    <t>BGP_1997_11_1-2_08_Observacoes_sobre_a_carta_estratigrafica...pdf</t>
  </si>
  <si>
    <t>BGP_1997_11_1-2_09_Series_naturais_aplicacao_no_estudo...pdf</t>
  </si>
  <si>
    <t>BGP_1997_11_1-2_10_Zoneamento_bioestratigrafico_e_paleoclimatico_dos_sedimentos...pdf</t>
  </si>
  <si>
    <t>BGP_2004_12_1_05_Exploracao_na_Petrobras_50_anos_de_sucesso.pdf</t>
  </si>
  <si>
    <t>BGP_2004_12_1_06_Blocos_</t>
  </si>
  <si>
    <t>BGP_2004_12_1_07_Sistemas_deposicionais_de_talude_e_de_bacia...pdf</t>
  </si>
  <si>
    <t>BGP_2004_12_1_08_Restauracao_estrutural_de_secoes_e_previsibilidade...pdf</t>
  </si>
  <si>
    <t>BGP_2004_12_1_09_Aspectos_controladores_do_potencial_selante...pdf</t>
  </si>
  <si>
    <t>BGP_2004_12_1_10_Modelagem_da_anisotropia_em_sistemas_fraturados...pdf</t>
  </si>
  <si>
    <t>BGP_2004_12_1_11_Atributos_DHI_Indicadores_Diretos_de_Hidrocarboneto...pdf</t>
  </si>
  <si>
    <t>BGP_2004_12_1_12_Historico_do_estudo_de_dinoflagelados_fosseis...pdf</t>
  </si>
  <si>
    <t>BGP_2004_12_1_13_Novas_ocorrencias_de_diques_de_diabasios...pdf</t>
  </si>
  <si>
    <t>BGP_2004_12_2_05_Diacronismo_de_eventos_no_rifte_Sul_Atlantico.pdf</t>
  </si>
  <si>
    <t>BGP_2004_12_2_06_Paleoceanografia_e_a_evolucao_do_Atlantico.pdf</t>
  </si>
  <si>
    <t>BGP_2004_12_2_07_Facies_e_modelo_deposicional_do_Canyon...pdf</t>
  </si>
  <si>
    <t>BGP_2004_12_2_08_Geometria_da_porcao_proximal_do_sistema....pdf</t>
  </si>
  <si>
    <t>BGP_2004_12_2_09_Facies_sismicas.pdf</t>
  </si>
  <si>
    <t>BGP_2004_12_2_10_Geoquimica_de_gases_uma_nova_tecnologia...pdf</t>
  </si>
  <si>
    <t>BGP_2004_12_2_11_As_bacias_marginais_brasileiras_estagio_atual_de_conhecimento.pdf</t>
  </si>
  <si>
    <t>BGP_2004_12_2_12_Em_busca_da_bioestratigrafia_de_alta_resolucao....pdf</t>
  </si>
  <si>
    <t>BGP_2004_12_2_13_Interrelacao_entre_a_fabrica_sedimentar...pdf</t>
  </si>
  <si>
    <t>BGP_2004_12_2_14_Revisao_litoestratigrafica_do_Grupo_Tapajos...pdf</t>
  </si>
  <si>
    <t>BGP_2005_13_1_04_Tectonica_estratigrafia_e_sedimentacao_no_Andar...pdf</t>
  </si>
  <si>
    <t>BGP_2005_13_1_05_Estratigrafia_de_sequencias_das_formacoes_Taciba...pdf</t>
  </si>
  <si>
    <t>BGP_2005_13_1_06_Influencia_do_mecanismo_de_iniciacao_na_dinamica...pdf</t>
  </si>
  <si>
    <t>BGP_2005_13_1_07_O_estudo_de_inclusoes_fluidas_na_exploracao.pdf</t>
  </si>
  <si>
    <t>BGP_2005_13_1_08_Analise_multivariada_em_nanofosseis_calcarios...pdf</t>
  </si>
  <si>
    <t>BGP_2005_13_1_09_Entrevistas_Peter_Szatmari.pdf</t>
  </si>
  <si>
    <t>BGP_2005_13_1_10_Identificacao_de_uma_estrutura_de_impacto_no_Cretaceo...pdf</t>
  </si>
  <si>
    <t>BGP_2005_13_1_11_Porosidade_em_reservatorios_carbonaticos_algumas_consideracoes.pdf</t>
  </si>
  <si>
    <t>BGP_2005_13_2_05_Tectonismo_e_sedimentacao_na_porcao_SW_do_Rifte...pdf</t>
  </si>
  <si>
    <t>BGP_2005_13_2_06_Tectonica_e_relacoes_estratigraficas_na_Sub_bacia...pdf</t>
  </si>
  <si>
    <t>BGP_2005_13_2_07_Sequencias_deposicionais_de_3_ordem_em_riftes...pdf</t>
  </si>
  <si>
    <t>BGP_2005_13_2_08_Estratigrafia_de_Sequencias_da_fase_final...pdf</t>
  </si>
  <si>
    <t>BGP_2005_13_2_09_Analise_estratigrafica_de_bacias_rifte...pdf</t>
  </si>
  <si>
    <t>BGP_2005_13_2_10_Arquitetura_das_sequencias_estratigraficas_desenvolvidas...pdf</t>
  </si>
  <si>
    <t>BGP_2005_13_2_11_Origem_e_evolucao_estrutural_do_Sistema_de_Riftes...pdf</t>
  </si>
  <si>
    <t>BGP_2005_13_2_12_Guia_de_Campo_da_Bacia_do_Reconcavo...pdf</t>
  </si>
  <si>
    <t>BGP_2006_14_1_05_Arquitetura_de_reservatorios.pdf</t>
  </si>
  <si>
    <t>BGP_2006_14_1_06_Arquitetura_de_facies_e_evolucao_estratigrafica...pdf</t>
  </si>
  <si>
    <t>BGP_2006_14_1_07_Arenitos_asfalticos_na_Bacia_do_Parana.pdf</t>
  </si>
  <si>
    <t>BGP_2006_14_1_08_Geoprocessamento_multitematico_e_analise_estrutural...pdf</t>
  </si>
  <si>
    <t>BGP_2006_14_1_09_Magmatismo_e_sedimentacao_em_uma_area_na_Plataforma...pdf</t>
  </si>
  <si>
    <t>BGP_2006_14_1_10_Abordagem_preliminar_sobre_paleotemperatura_e_evolucao...pdf</t>
  </si>
  <si>
    <t>BGP_2006_14_1_11_Simposio_sobre_magmatismo_em_bacias_sedimentares.pdf</t>
  </si>
  <si>
    <t>BGP_2006_14_1_13_Interpretacao_geologica_e_geofisica_da_Bacia...pdf</t>
  </si>
  <si>
    <t>BGP_2006_14_1_14_Um_modelo_tectono_magmatico_para_a_regiao...pdf</t>
  </si>
  <si>
    <t>BGP_2006_14_1_15_Sedimentacao_vulcanoclastica_do_Cretaceo_Superior...pdf</t>
  </si>
  <si>
    <t>BGP_2006_14_1_16__Manifestacoes_magmaticas_na_parte_sul_da_Bacia...pdf</t>
  </si>
  <si>
    <t>BGP_2006_14_1_18_Folhelhos_verdes_carboniferos_da_Bacia_do_Solimoes...pdf</t>
  </si>
  <si>
    <t>BGP_2006_14_1_19_O_diabasio_nas_bacias_paleozoicas_amazonicas...pdf</t>
  </si>
  <si>
    <t>BGP_2006_14_1_20_Classificacao_de_rochas_igneas_em_perfis_eletricos.pdf</t>
  </si>
  <si>
    <t>BGP_2006_14_1_21_ChemRock_um_sistema_de_analise_e_interpretacao...pdf</t>
  </si>
  <si>
    <t>BGP_2006_14_2_05_Avaliacao_do_potencial.pdf</t>
  </si>
  <si>
    <t>BGP_2006_14_2_06_Idade_deposicional.pdf</t>
  </si>
  <si>
    <t>BGP_2006_14_2_07_Sequencia_holocenica.pdf</t>
  </si>
  <si>
    <t>BGP_2006_14_2_08_Tipos_de_fontes.pdf</t>
  </si>
  <si>
    <t>BGP_2006_14_2_09_Aspectos_estruturais.pdf</t>
  </si>
  <si>
    <t>BGP_2006_14_2_10_Tempo_e_frequencia.pdf</t>
  </si>
  <si>
    <t>BGP_2006_14_2_11_Triangulacoes_adaptativas_em_multirresolucao_para_objetos_heterogeneos.pdf</t>
  </si>
  <si>
    <t>BGP_2006_14_2_12_Modelagem_3D.pdf</t>
  </si>
  <si>
    <t>BGP_2006_14_2_13_Depositos_de_fluxos.pdf</t>
  </si>
  <si>
    <t>Dataset</t>
  </si>
  <si>
    <t>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</si>
</sst>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164" fontId="2" fillId="0" borderId="0" xfId="1" applyNumberFormat="1" applyFont="1"/>
    <xf numFmtId="9" fontId="2" fillId="0" borderId="0" xfId="2" applyFont="1"/>
    <xf numFmtId="0" fontId="6" fillId="0" borderId="0" xfId="0" applyFont="1"/>
    <xf numFmtId="0" fontId="2" fillId="0" borderId="0" xfId="0" applyFont="1" applyBorder="1"/>
    <xf numFmtId="0" fontId="0" fillId="0" borderId="0" xfId="0" applyBorder="1"/>
    <xf numFmtId="0" fontId="3" fillId="0" borderId="0" xfId="0" applyFont="1" applyBorder="1"/>
    <xf numFmtId="164" fontId="2" fillId="0" borderId="0" xfId="1" applyNumberFormat="1" applyFont="1" applyBorder="1"/>
    <xf numFmtId="0" fontId="5" fillId="0" borderId="0" xfId="0" applyFont="1" applyFill="1" applyBorder="1"/>
    <xf numFmtId="0" fontId="3" fillId="0" borderId="0" xfId="0" applyFont="1" applyFill="1" applyBorder="1"/>
    <xf numFmtId="9" fontId="5" fillId="0" borderId="0" xfId="2" applyFont="1" applyFill="1" applyBorder="1"/>
    <xf numFmtId="0" fontId="0" fillId="0" borderId="0" xfId="0" applyFill="1"/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8E50-91B0-4B99-9BB8-19F5E7B7DBDC}">
  <dimension ref="A1:R113"/>
  <sheetViews>
    <sheetView tabSelected="1" zoomScale="85" zoomScaleNormal="85" workbookViewId="0">
      <selection activeCell="L15" sqref="L15"/>
    </sheetView>
  </sheetViews>
  <sheetFormatPr baseColWidth="10" defaultColWidth="8.88671875" defaultRowHeight="14.4" x14ac:dyDescent="0.3"/>
  <cols>
    <col min="1" max="1" width="19.109375" style="17" bestFit="1" customWidth="1"/>
    <col min="2" max="2" width="15.21875" style="17" bestFit="1" customWidth="1"/>
    <col min="3" max="3" width="79.6640625" style="17" customWidth="1"/>
    <col min="4" max="4" width="13.6640625" style="17" bestFit="1" customWidth="1"/>
    <col min="5" max="5" width="12.44140625" style="17" customWidth="1"/>
    <col min="6" max="6" width="21.77734375" style="13" bestFit="1" customWidth="1"/>
    <col min="8" max="8" width="10.33203125" bestFit="1" customWidth="1"/>
    <col min="9" max="10" width="9.33203125" bestFit="1" customWidth="1"/>
    <col min="12" max="13" width="19.5546875" bestFit="1" customWidth="1"/>
    <col min="14" max="14" width="9.21875" bestFit="1" customWidth="1"/>
    <col min="18" max="18" width="42.109375" bestFit="1" customWidth="1"/>
  </cols>
  <sheetData>
    <row r="1" spans="1:18" x14ac:dyDescent="0.3">
      <c r="A1" s="16" t="s">
        <v>24</v>
      </c>
    </row>
    <row r="2" spans="1:18" ht="15" thickBot="1" x14ac:dyDescent="0.35"/>
    <row r="3" spans="1:18" s="1" customFormat="1" x14ac:dyDescent="0.3">
      <c r="A3" s="16" t="s">
        <v>11</v>
      </c>
      <c r="B3" s="16" t="s">
        <v>25</v>
      </c>
      <c r="C3" s="16" t="s">
        <v>26</v>
      </c>
      <c r="D3" s="16" t="s">
        <v>27</v>
      </c>
      <c r="E3" s="16" t="s">
        <v>28</v>
      </c>
      <c r="F3" s="12" t="s">
        <v>12</v>
      </c>
      <c r="H3" s="1" t="s">
        <v>22</v>
      </c>
      <c r="I3" s="1" t="s">
        <v>134</v>
      </c>
      <c r="J3" s="1" t="s">
        <v>23</v>
      </c>
      <c r="L3" s="4" t="s">
        <v>27</v>
      </c>
      <c r="M3" s="5" t="s">
        <v>28</v>
      </c>
      <c r="N3" s="6" t="s">
        <v>133</v>
      </c>
      <c r="Q3"/>
      <c r="R3"/>
    </row>
    <row r="4" spans="1:18" x14ac:dyDescent="0.3">
      <c r="L4" s="7"/>
      <c r="M4" s="3"/>
      <c r="N4" s="8"/>
    </row>
    <row r="5" spans="1:18" x14ac:dyDescent="0.3">
      <c r="A5" s="17" t="s">
        <v>0</v>
      </c>
      <c r="B5" s="17" t="s">
        <v>20</v>
      </c>
      <c r="C5" s="17" t="s">
        <v>29</v>
      </c>
      <c r="D5" s="17">
        <v>1</v>
      </c>
      <c r="E5" s="17">
        <v>131</v>
      </c>
      <c r="F5" s="13">
        <f>E5-D5</f>
        <v>130</v>
      </c>
      <c r="H5">
        <f>F5</f>
        <v>130</v>
      </c>
      <c r="L5" s="7" t="str">
        <f>A5&amp;"-"&amp;D5</f>
        <v>boletins-000008-1</v>
      </c>
      <c r="M5" s="3" t="str">
        <f>A5&amp;"-"&amp;E5</f>
        <v>boletins-000008-131</v>
      </c>
      <c r="N5" s="8" t="str">
        <f t="shared" ref="N5:N34" si="0">IF(H5&gt;0,"Treino",IF(I5&gt;0,"Validação","Teste"))</f>
        <v>Treino</v>
      </c>
    </row>
    <row r="6" spans="1:18" x14ac:dyDescent="0.3">
      <c r="A6" s="17" t="s">
        <v>0</v>
      </c>
      <c r="B6" s="17" t="s">
        <v>20</v>
      </c>
      <c r="C6" s="17" t="s">
        <v>30</v>
      </c>
      <c r="D6" s="17">
        <v>235</v>
      </c>
      <c r="E6" s="17">
        <v>407</v>
      </c>
      <c r="F6" s="13">
        <f t="shared" ref="F6:F29" si="1">E6-D6</f>
        <v>172</v>
      </c>
      <c r="H6">
        <f t="shared" ref="H6:H10" si="2">F6</f>
        <v>172</v>
      </c>
      <c r="L6" s="7" t="str">
        <f t="shared" ref="L6:L16" si="3">A6&amp;"-"&amp;D6</f>
        <v>boletins-000008-235</v>
      </c>
      <c r="M6" s="3" t="str">
        <f t="shared" ref="M6:M16" si="4">A6&amp;"-"&amp;E6</f>
        <v>boletins-000008-407</v>
      </c>
      <c r="N6" s="8" t="str">
        <f t="shared" si="0"/>
        <v>Treino</v>
      </c>
    </row>
    <row r="7" spans="1:18" x14ac:dyDescent="0.3">
      <c r="A7" s="17" t="s">
        <v>0</v>
      </c>
      <c r="B7" s="17" t="s">
        <v>20</v>
      </c>
      <c r="C7" s="17" t="s">
        <v>31</v>
      </c>
      <c r="D7" s="17">
        <v>454</v>
      </c>
      <c r="E7" s="17">
        <v>676</v>
      </c>
      <c r="F7" s="13">
        <f t="shared" si="1"/>
        <v>222</v>
      </c>
      <c r="H7">
        <f t="shared" si="2"/>
        <v>222</v>
      </c>
      <c r="L7" s="7" t="str">
        <f t="shared" si="3"/>
        <v>boletins-000008-454</v>
      </c>
      <c r="M7" s="3" t="str">
        <f t="shared" si="4"/>
        <v>boletins-000008-676</v>
      </c>
      <c r="N7" s="8" t="str">
        <f t="shared" si="0"/>
        <v>Treino</v>
      </c>
    </row>
    <row r="8" spans="1:18" x14ac:dyDescent="0.3">
      <c r="A8" s="17" t="s">
        <v>0</v>
      </c>
      <c r="B8" s="17" t="s">
        <v>20</v>
      </c>
      <c r="C8" s="17" t="s">
        <v>32</v>
      </c>
      <c r="D8" s="17">
        <v>723</v>
      </c>
      <c r="E8" s="17">
        <v>834</v>
      </c>
      <c r="F8" s="13">
        <f t="shared" si="1"/>
        <v>111</v>
      </c>
      <c r="H8">
        <f t="shared" si="2"/>
        <v>111</v>
      </c>
      <c r="L8" s="7" t="str">
        <f t="shared" si="3"/>
        <v>boletins-000008-723</v>
      </c>
      <c r="M8" s="3" t="str">
        <f t="shared" si="4"/>
        <v>boletins-000008-834</v>
      </c>
      <c r="N8" s="8" t="str">
        <f t="shared" si="0"/>
        <v>Treino</v>
      </c>
    </row>
    <row r="9" spans="1:18" x14ac:dyDescent="0.3">
      <c r="A9" s="17" t="s">
        <v>0</v>
      </c>
      <c r="B9" s="17" t="s">
        <v>20</v>
      </c>
      <c r="C9" s="17" t="s">
        <v>33</v>
      </c>
      <c r="D9" s="17">
        <v>908</v>
      </c>
      <c r="E9" s="17">
        <v>1088</v>
      </c>
      <c r="F9" s="13">
        <f t="shared" si="1"/>
        <v>180</v>
      </c>
      <c r="H9">
        <f t="shared" si="2"/>
        <v>180</v>
      </c>
      <c r="L9" s="7" t="str">
        <f t="shared" si="3"/>
        <v>boletins-000008-908</v>
      </c>
      <c r="M9" s="3" t="str">
        <f t="shared" si="4"/>
        <v>boletins-000008-1088</v>
      </c>
      <c r="N9" s="8" t="str">
        <f t="shared" si="0"/>
        <v>Treino</v>
      </c>
    </row>
    <row r="10" spans="1:18" x14ac:dyDescent="0.3">
      <c r="A10" s="17" t="s">
        <v>0</v>
      </c>
      <c r="B10" s="17" t="s">
        <v>20</v>
      </c>
      <c r="C10" s="17" t="s">
        <v>34</v>
      </c>
      <c r="D10" s="17">
        <v>1160</v>
      </c>
      <c r="E10" s="17">
        <v>1270</v>
      </c>
      <c r="F10" s="13">
        <f t="shared" si="1"/>
        <v>110</v>
      </c>
      <c r="H10">
        <f t="shared" si="2"/>
        <v>110</v>
      </c>
      <c r="L10" s="7" t="str">
        <f t="shared" si="3"/>
        <v>boletins-000008-1160</v>
      </c>
      <c r="M10" s="3" t="str">
        <f t="shared" si="4"/>
        <v>boletins-000008-1270</v>
      </c>
      <c r="N10" s="8" t="str">
        <f t="shared" si="0"/>
        <v>Treino</v>
      </c>
    </row>
    <row r="11" spans="1:18" x14ac:dyDescent="0.3">
      <c r="A11" s="17" t="s">
        <v>0</v>
      </c>
      <c r="B11" s="17" t="s">
        <v>20</v>
      </c>
      <c r="C11" s="17" t="s">
        <v>35</v>
      </c>
      <c r="D11" s="17">
        <v>1303</v>
      </c>
      <c r="E11" s="17">
        <v>1414</v>
      </c>
      <c r="F11" s="13">
        <f t="shared" si="1"/>
        <v>111</v>
      </c>
      <c r="J11">
        <f>F11</f>
        <v>111</v>
      </c>
      <c r="L11" s="7" t="str">
        <f t="shared" si="3"/>
        <v>boletins-000008-1303</v>
      </c>
      <c r="M11" s="3" t="str">
        <f t="shared" si="4"/>
        <v>boletins-000008-1414</v>
      </c>
      <c r="N11" s="8" t="str">
        <f t="shared" si="0"/>
        <v>Teste</v>
      </c>
    </row>
    <row r="12" spans="1:18" x14ac:dyDescent="0.3">
      <c r="A12" s="17" t="s">
        <v>0</v>
      </c>
      <c r="B12" s="17" t="s">
        <v>20</v>
      </c>
      <c r="C12" s="17" t="s">
        <v>36</v>
      </c>
      <c r="D12" s="17">
        <v>1462</v>
      </c>
      <c r="E12" s="17">
        <v>1602</v>
      </c>
      <c r="F12" s="13">
        <f t="shared" si="1"/>
        <v>140</v>
      </c>
      <c r="J12">
        <f>F12</f>
        <v>140</v>
      </c>
      <c r="L12" s="7" t="str">
        <f t="shared" si="3"/>
        <v>boletins-000008-1462</v>
      </c>
      <c r="M12" s="3" t="str">
        <f t="shared" si="4"/>
        <v>boletins-000008-1602</v>
      </c>
      <c r="N12" s="8" t="str">
        <f t="shared" si="0"/>
        <v>Teste</v>
      </c>
    </row>
    <row r="13" spans="1:18" x14ac:dyDescent="0.3">
      <c r="A13" s="17" t="s">
        <v>0</v>
      </c>
      <c r="B13" s="17" t="s">
        <v>20</v>
      </c>
      <c r="C13" s="17" t="s">
        <v>37</v>
      </c>
      <c r="D13" s="17">
        <v>1643</v>
      </c>
      <c r="E13" s="17">
        <v>1731</v>
      </c>
      <c r="F13" s="13">
        <f t="shared" si="1"/>
        <v>88</v>
      </c>
      <c r="I13">
        <f>F13</f>
        <v>88</v>
      </c>
      <c r="L13" s="7" t="str">
        <f t="shared" si="3"/>
        <v>boletins-000008-1643</v>
      </c>
      <c r="M13" s="3" t="str">
        <f t="shared" si="4"/>
        <v>boletins-000008-1731</v>
      </c>
      <c r="N13" s="8" t="str">
        <f t="shared" si="0"/>
        <v>Validação</v>
      </c>
    </row>
    <row r="14" spans="1:18" x14ac:dyDescent="0.3">
      <c r="A14" s="17" t="s">
        <v>0</v>
      </c>
      <c r="B14" s="17" t="s">
        <v>20</v>
      </c>
      <c r="C14" s="17" t="s">
        <v>38</v>
      </c>
      <c r="D14" s="17">
        <v>1765</v>
      </c>
      <c r="E14" s="17">
        <v>1842</v>
      </c>
      <c r="F14" s="13">
        <f t="shared" si="1"/>
        <v>77</v>
      </c>
      <c r="I14">
        <f>F14</f>
        <v>77</v>
      </c>
      <c r="L14" s="7" t="str">
        <f t="shared" si="3"/>
        <v>boletins-000008-1765</v>
      </c>
      <c r="M14" s="3" t="str">
        <f t="shared" si="4"/>
        <v>boletins-000008-1842</v>
      </c>
      <c r="N14" s="8" t="str">
        <f t="shared" si="0"/>
        <v>Validação</v>
      </c>
    </row>
    <row r="15" spans="1:18" x14ac:dyDescent="0.3">
      <c r="A15" s="17" t="s">
        <v>0</v>
      </c>
      <c r="B15" s="17" t="s">
        <v>20</v>
      </c>
      <c r="C15" s="17" t="s">
        <v>39</v>
      </c>
      <c r="D15" s="17">
        <v>1858</v>
      </c>
      <c r="E15" s="17">
        <v>1893</v>
      </c>
      <c r="F15" s="13">
        <f t="shared" si="1"/>
        <v>35</v>
      </c>
      <c r="H15">
        <f>F15</f>
        <v>35</v>
      </c>
      <c r="L15" s="7" t="str">
        <f t="shared" si="3"/>
        <v>boletins-000008-1858</v>
      </c>
      <c r="M15" s="3" t="str">
        <f t="shared" si="4"/>
        <v>boletins-000008-1893</v>
      </c>
      <c r="N15" s="8" t="str">
        <f t="shared" si="0"/>
        <v>Treino</v>
      </c>
    </row>
    <row r="16" spans="1:18" x14ac:dyDescent="0.3">
      <c r="A16" s="17" t="s">
        <v>0</v>
      </c>
      <c r="B16" s="17" t="s">
        <v>20</v>
      </c>
      <c r="C16" s="17" t="s">
        <v>40</v>
      </c>
      <c r="D16" s="17">
        <v>1931</v>
      </c>
      <c r="E16" s="17">
        <v>1992</v>
      </c>
      <c r="F16" s="13">
        <f t="shared" si="1"/>
        <v>61</v>
      </c>
      <c r="H16">
        <f>F16</f>
        <v>61</v>
      </c>
      <c r="L16" s="7" t="str">
        <f t="shared" si="3"/>
        <v>boletins-000008-1931</v>
      </c>
      <c r="M16" s="3" t="str">
        <f t="shared" si="4"/>
        <v>boletins-000008-1992</v>
      </c>
      <c r="N16" s="8" t="str">
        <f t="shared" si="0"/>
        <v>Treino</v>
      </c>
    </row>
    <row r="17" spans="1:18" x14ac:dyDescent="0.3">
      <c r="A17" s="17" t="s">
        <v>13</v>
      </c>
      <c r="B17" s="17" t="s">
        <v>21</v>
      </c>
      <c r="C17" s="17" t="s">
        <v>41</v>
      </c>
      <c r="D17" s="17">
        <v>18</v>
      </c>
      <c r="E17" s="17">
        <v>194</v>
      </c>
      <c r="F17" s="13">
        <f t="shared" si="1"/>
        <v>176</v>
      </c>
      <c r="G17" s="11"/>
      <c r="H17">
        <f t="shared" ref="H17:H19" si="5">F17</f>
        <v>176</v>
      </c>
      <c r="L17" s="7" t="str">
        <f t="shared" ref="L17:L24" si="6">A17&amp;"-"&amp;D17</f>
        <v>boletins-000009-18</v>
      </c>
      <c r="M17" s="3" t="str">
        <f t="shared" ref="M17:M24" si="7">A17&amp;"-"&amp;E17</f>
        <v>boletins-000009-194</v>
      </c>
      <c r="N17" s="8" t="str">
        <f t="shared" si="0"/>
        <v>Treino</v>
      </c>
    </row>
    <row r="18" spans="1:18" x14ac:dyDescent="0.3">
      <c r="A18" s="17" t="s">
        <v>13</v>
      </c>
      <c r="B18" s="17" t="s">
        <v>21</v>
      </c>
      <c r="C18" s="17" t="s">
        <v>42</v>
      </c>
      <c r="D18" s="17">
        <v>289</v>
      </c>
      <c r="E18" s="17">
        <v>491</v>
      </c>
      <c r="F18" s="13">
        <f t="shared" si="1"/>
        <v>202</v>
      </c>
      <c r="G18" s="11"/>
      <c r="H18">
        <f t="shared" si="5"/>
        <v>202</v>
      </c>
      <c r="L18" s="7" t="str">
        <f t="shared" si="6"/>
        <v>boletins-000009-289</v>
      </c>
      <c r="M18" s="3" t="str">
        <f t="shared" si="7"/>
        <v>boletins-000009-491</v>
      </c>
      <c r="N18" s="8" t="str">
        <f t="shared" si="0"/>
        <v>Treino</v>
      </c>
    </row>
    <row r="19" spans="1:18" x14ac:dyDescent="0.3">
      <c r="A19" s="17" t="s">
        <v>13</v>
      </c>
      <c r="B19" s="17" t="s">
        <v>21</v>
      </c>
      <c r="C19" s="17" t="s">
        <v>43</v>
      </c>
      <c r="D19" s="17">
        <v>544</v>
      </c>
      <c r="E19" s="17">
        <v>862</v>
      </c>
      <c r="F19" s="13">
        <f t="shared" si="1"/>
        <v>318</v>
      </c>
      <c r="G19" s="11"/>
      <c r="H19">
        <f t="shared" si="5"/>
        <v>318</v>
      </c>
      <c r="L19" s="7" t="str">
        <f t="shared" si="6"/>
        <v>boletins-000009-544</v>
      </c>
      <c r="M19" s="3" t="str">
        <f t="shared" si="7"/>
        <v>boletins-000009-862</v>
      </c>
      <c r="N19" s="8" t="str">
        <f t="shared" si="0"/>
        <v>Treino</v>
      </c>
    </row>
    <row r="20" spans="1:18" x14ac:dyDescent="0.3">
      <c r="A20" s="17" t="s">
        <v>13</v>
      </c>
      <c r="B20" s="17" t="s">
        <v>21</v>
      </c>
      <c r="C20" s="17" t="s">
        <v>44</v>
      </c>
      <c r="D20" s="17">
        <v>1085</v>
      </c>
      <c r="E20" s="17">
        <v>1172</v>
      </c>
      <c r="F20" s="13">
        <f t="shared" si="1"/>
        <v>87</v>
      </c>
      <c r="G20" s="11"/>
      <c r="H20">
        <f>F20</f>
        <v>87</v>
      </c>
      <c r="L20" s="7" t="str">
        <f t="shared" si="6"/>
        <v>boletins-000009-1085</v>
      </c>
      <c r="M20" s="3" t="str">
        <f t="shared" si="7"/>
        <v>boletins-000009-1172</v>
      </c>
      <c r="N20" s="8" t="str">
        <f t="shared" si="0"/>
        <v>Treino</v>
      </c>
    </row>
    <row r="21" spans="1:18" x14ac:dyDescent="0.3">
      <c r="A21" s="17" t="s">
        <v>13</v>
      </c>
      <c r="B21" s="17" t="s">
        <v>21</v>
      </c>
      <c r="C21" s="17" t="s">
        <v>45</v>
      </c>
      <c r="D21" s="17">
        <v>1251</v>
      </c>
      <c r="E21" s="17">
        <v>1355</v>
      </c>
      <c r="F21" s="13">
        <f t="shared" si="1"/>
        <v>104</v>
      </c>
      <c r="G21" s="11"/>
      <c r="J21">
        <f>F21</f>
        <v>104</v>
      </c>
      <c r="L21" s="7" t="str">
        <f t="shared" si="6"/>
        <v>boletins-000009-1251</v>
      </c>
      <c r="M21" s="3" t="str">
        <f t="shared" si="7"/>
        <v>boletins-000009-1355</v>
      </c>
      <c r="N21" s="8" t="str">
        <f t="shared" si="0"/>
        <v>Teste</v>
      </c>
    </row>
    <row r="22" spans="1:18" x14ac:dyDescent="0.3">
      <c r="A22" s="17" t="s">
        <v>13</v>
      </c>
      <c r="B22" s="17" t="s">
        <v>21</v>
      </c>
      <c r="C22" s="17" t="s">
        <v>46</v>
      </c>
      <c r="D22" s="17">
        <v>1403</v>
      </c>
      <c r="E22" s="17">
        <v>1552</v>
      </c>
      <c r="F22" s="13">
        <f t="shared" si="1"/>
        <v>149</v>
      </c>
      <c r="G22" s="11"/>
      <c r="I22">
        <f>F22</f>
        <v>149</v>
      </c>
      <c r="L22" s="7" t="str">
        <f t="shared" si="6"/>
        <v>boletins-000009-1403</v>
      </c>
      <c r="M22" s="3" t="str">
        <f t="shared" si="7"/>
        <v>boletins-000009-1552</v>
      </c>
      <c r="N22" s="8" t="str">
        <f t="shared" si="0"/>
        <v>Validação</v>
      </c>
    </row>
    <row r="23" spans="1:18" x14ac:dyDescent="0.3">
      <c r="A23" s="17" t="s">
        <v>13</v>
      </c>
      <c r="B23" s="17" t="s">
        <v>21</v>
      </c>
      <c r="C23" s="17" t="s">
        <v>47</v>
      </c>
      <c r="D23" s="17">
        <v>1588</v>
      </c>
      <c r="E23" s="17">
        <v>1668</v>
      </c>
      <c r="F23" s="13">
        <f t="shared" si="1"/>
        <v>80</v>
      </c>
      <c r="G23" s="11"/>
      <c r="I23">
        <f>F23</f>
        <v>80</v>
      </c>
      <c r="L23" s="7" t="str">
        <f t="shared" si="6"/>
        <v>boletins-000009-1588</v>
      </c>
      <c r="M23" s="3" t="str">
        <f t="shared" si="7"/>
        <v>boletins-000009-1668</v>
      </c>
      <c r="N23" s="8" t="str">
        <f t="shared" si="0"/>
        <v>Validação</v>
      </c>
    </row>
    <row r="24" spans="1:18" x14ac:dyDescent="0.3">
      <c r="A24" s="17" t="s">
        <v>13</v>
      </c>
      <c r="B24" s="17" t="s">
        <v>21</v>
      </c>
      <c r="C24" s="17" t="s">
        <v>48</v>
      </c>
      <c r="D24" s="17">
        <v>1712</v>
      </c>
      <c r="E24" s="17">
        <v>1817</v>
      </c>
      <c r="F24" s="13">
        <f t="shared" si="1"/>
        <v>105</v>
      </c>
      <c r="G24" s="11"/>
      <c r="H24">
        <f>F24</f>
        <v>105</v>
      </c>
      <c r="L24" s="7" t="str">
        <f t="shared" si="6"/>
        <v>boletins-000009-1712</v>
      </c>
      <c r="M24" s="3" t="str">
        <f t="shared" si="7"/>
        <v>boletins-000009-1817</v>
      </c>
      <c r="N24" s="8" t="str">
        <f t="shared" si="0"/>
        <v>Treino</v>
      </c>
    </row>
    <row r="25" spans="1:18" x14ac:dyDescent="0.3">
      <c r="A25" s="17" t="s">
        <v>13</v>
      </c>
      <c r="B25" s="17" t="s">
        <v>21</v>
      </c>
      <c r="C25" s="17" t="s">
        <v>49</v>
      </c>
      <c r="D25" s="17">
        <v>1867</v>
      </c>
      <c r="E25" s="17">
        <v>1952</v>
      </c>
      <c r="F25" s="13">
        <f t="shared" si="1"/>
        <v>85</v>
      </c>
      <c r="G25" s="11"/>
      <c r="H25">
        <f t="shared" ref="H25:H29" si="8">F25</f>
        <v>85</v>
      </c>
      <c r="L25" s="7" t="str">
        <f t="shared" ref="L25:L81" si="9">A25&amp;"-"&amp;D25</f>
        <v>boletins-000009-1867</v>
      </c>
      <c r="M25" s="3" t="str">
        <f t="shared" ref="M25:M81" si="10">A25&amp;"-"&amp;E25</f>
        <v>boletins-000009-1952</v>
      </c>
      <c r="N25" s="8" t="str">
        <f t="shared" si="0"/>
        <v>Treino</v>
      </c>
    </row>
    <row r="26" spans="1:18" x14ac:dyDescent="0.3">
      <c r="A26" s="17" t="s">
        <v>13</v>
      </c>
      <c r="B26" s="17" t="s">
        <v>21</v>
      </c>
      <c r="C26" s="17" t="s">
        <v>50</v>
      </c>
      <c r="D26" s="17">
        <v>2057</v>
      </c>
      <c r="E26" s="17">
        <v>2144</v>
      </c>
      <c r="F26" s="13">
        <f t="shared" si="1"/>
        <v>87</v>
      </c>
      <c r="G26" s="11"/>
      <c r="H26">
        <f t="shared" si="8"/>
        <v>87</v>
      </c>
      <c r="L26" s="7" t="str">
        <f t="shared" si="9"/>
        <v>boletins-000009-2057</v>
      </c>
      <c r="M26" s="3" t="str">
        <f t="shared" si="10"/>
        <v>boletins-000009-2144</v>
      </c>
      <c r="N26" s="8" t="str">
        <f t="shared" si="0"/>
        <v>Treino</v>
      </c>
    </row>
    <row r="27" spans="1:18" x14ac:dyDescent="0.3">
      <c r="A27" s="17" t="s">
        <v>13</v>
      </c>
      <c r="B27" s="17" t="s">
        <v>21</v>
      </c>
      <c r="C27" s="17" t="s">
        <v>51</v>
      </c>
      <c r="D27" s="17">
        <v>2083</v>
      </c>
      <c r="E27" s="17">
        <v>2098</v>
      </c>
      <c r="F27" s="13">
        <f t="shared" si="1"/>
        <v>15</v>
      </c>
      <c r="G27" s="11"/>
      <c r="H27">
        <f t="shared" si="8"/>
        <v>15</v>
      </c>
      <c r="L27" s="7" t="str">
        <f t="shared" si="9"/>
        <v>boletins-000009-2083</v>
      </c>
      <c r="M27" s="3" t="str">
        <f t="shared" si="10"/>
        <v>boletins-000009-2098</v>
      </c>
      <c r="N27" s="8" t="str">
        <f t="shared" si="0"/>
        <v>Treino</v>
      </c>
    </row>
    <row r="28" spans="1:18" x14ac:dyDescent="0.3">
      <c r="A28" s="17" t="s">
        <v>13</v>
      </c>
      <c r="B28" s="17" t="s">
        <v>21</v>
      </c>
      <c r="C28" s="17" t="s">
        <v>52</v>
      </c>
      <c r="D28" s="17">
        <v>2101</v>
      </c>
      <c r="E28" s="17">
        <v>2144</v>
      </c>
      <c r="F28" s="13">
        <f t="shared" si="1"/>
        <v>43</v>
      </c>
      <c r="G28" s="11"/>
      <c r="H28">
        <f t="shared" si="8"/>
        <v>43</v>
      </c>
      <c r="L28" s="7" t="str">
        <f t="shared" si="9"/>
        <v>boletins-000009-2101</v>
      </c>
      <c r="M28" s="3" t="str">
        <f t="shared" si="10"/>
        <v>boletins-000009-2144</v>
      </c>
      <c r="N28" s="8" t="str">
        <f t="shared" si="0"/>
        <v>Treino</v>
      </c>
    </row>
    <row r="29" spans="1:18" x14ac:dyDescent="0.3">
      <c r="A29" s="17" t="s">
        <v>13</v>
      </c>
      <c r="B29" s="17" t="s">
        <v>21</v>
      </c>
      <c r="C29" s="17" t="s">
        <v>53</v>
      </c>
      <c r="D29" s="17">
        <v>2185</v>
      </c>
      <c r="E29" s="17">
        <v>2193</v>
      </c>
      <c r="F29" s="13">
        <f t="shared" si="1"/>
        <v>8</v>
      </c>
      <c r="G29" s="11"/>
      <c r="H29">
        <f t="shared" si="8"/>
        <v>8</v>
      </c>
      <c r="L29" s="7" t="str">
        <f t="shared" si="9"/>
        <v>boletins-000009-2185</v>
      </c>
      <c r="M29" s="3" t="str">
        <f t="shared" si="10"/>
        <v>boletins-000009-2193</v>
      </c>
      <c r="N29" s="8" t="str">
        <f t="shared" si="0"/>
        <v>Treino</v>
      </c>
    </row>
    <row r="30" spans="1:18" x14ac:dyDescent="0.3">
      <c r="A30" s="17" t="s">
        <v>13</v>
      </c>
      <c r="B30" s="17" t="s">
        <v>21</v>
      </c>
      <c r="C30" s="17" t="s">
        <v>54</v>
      </c>
      <c r="D30" s="17">
        <v>2197</v>
      </c>
      <c r="E30" s="17">
        <v>2215</v>
      </c>
      <c r="F30" s="13">
        <f t="shared" ref="F30:F51" si="11">E30-D30</f>
        <v>18</v>
      </c>
      <c r="H30">
        <f t="shared" ref="H30" si="12">F30</f>
        <v>18</v>
      </c>
      <c r="L30" s="7" t="str">
        <f t="shared" si="9"/>
        <v>boletins-000009-2197</v>
      </c>
      <c r="M30" s="3" t="str">
        <f t="shared" si="10"/>
        <v>boletins-000009-2215</v>
      </c>
      <c r="N30" s="8" t="str">
        <f t="shared" si="0"/>
        <v>Treino</v>
      </c>
    </row>
    <row r="31" spans="1:18" x14ac:dyDescent="0.3">
      <c r="A31" s="17" t="s">
        <v>2</v>
      </c>
      <c r="B31" s="17" t="s">
        <v>9</v>
      </c>
      <c r="C31" s="17" t="s">
        <v>55</v>
      </c>
      <c r="D31" s="17">
        <v>3</v>
      </c>
      <c r="E31" s="17">
        <v>245</v>
      </c>
      <c r="F31" s="13">
        <f>E31-D31</f>
        <v>242</v>
      </c>
      <c r="J31">
        <f>F31</f>
        <v>242</v>
      </c>
      <c r="L31" s="7" t="str">
        <f t="shared" si="9"/>
        <v>boletins-000001-3</v>
      </c>
      <c r="M31" s="3" t="str">
        <f t="shared" si="10"/>
        <v>boletins-000001-245</v>
      </c>
      <c r="N31" s="8" t="str">
        <f t="shared" si="0"/>
        <v>Teste</v>
      </c>
      <c r="Q31" s="19"/>
      <c r="R31" s="19"/>
    </row>
    <row r="32" spans="1:18" x14ac:dyDescent="0.3">
      <c r="A32" s="17" t="s">
        <v>2</v>
      </c>
      <c r="B32" s="17" t="s">
        <v>9</v>
      </c>
      <c r="C32" s="17" t="s">
        <v>56</v>
      </c>
      <c r="D32" s="17">
        <v>379</v>
      </c>
      <c r="E32" s="17">
        <v>949</v>
      </c>
      <c r="F32" s="13">
        <f t="shared" si="11"/>
        <v>570</v>
      </c>
      <c r="I32">
        <f>F32</f>
        <v>570</v>
      </c>
      <c r="L32" s="7" t="str">
        <f t="shared" si="9"/>
        <v>boletins-000001-379</v>
      </c>
      <c r="M32" s="3" t="str">
        <f t="shared" si="10"/>
        <v>boletins-000001-949</v>
      </c>
      <c r="N32" s="8" t="str">
        <f t="shared" si="0"/>
        <v>Validação</v>
      </c>
      <c r="Q32" s="19"/>
      <c r="R32" s="19"/>
    </row>
    <row r="33" spans="1:18" x14ac:dyDescent="0.3">
      <c r="A33" s="17" t="s">
        <v>2</v>
      </c>
      <c r="B33" s="17" t="s">
        <v>9</v>
      </c>
      <c r="C33" s="17" t="s">
        <v>57</v>
      </c>
      <c r="D33" s="17">
        <v>1118</v>
      </c>
      <c r="E33" s="17">
        <v>1293</v>
      </c>
      <c r="F33" s="13">
        <f t="shared" si="11"/>
        <v>175</v>
      </c>
      <c r="G33" s="11"/>
      <c r="H33">
        <f t="shared" ref="H33" si="13">F33</f>
        <v>175</v>
      </c>
      <c r="L33" s="7" t="str">
        <f t="shared" si="9"/>
        <v>boletins-000001-1118</v>
      </c>
      <c r="M33" s="3" t="str">
        <f t="shared" si="10"/>
        <v>boletins-000001-1293</v>
      </c>
      <c r="N33" s="8" t="str">
        <f t="shared" si="0"/>
        <v>Treino</v>
      </c>
      <c r="Q33" s="19"/>
      <c r="R33" s="19"/>
    </row>
    <row r="34" spans="1:18" x14ac:dyDescent="0.3">
      <c r="A34" s="17" t="s">
        <v>2</v>
      </c>
      <c r="B34" s="17" t="s">
        <v>9</v>
      </c>
      <c r="C34" s="17" t="s">
        <v>58</v>
      </c>
      <c r="D34" s="17">
        <v>1327</v>
      </c>
      <c r="E34" s="17">
        <v>1460</v>
      </c>
      <c r="F34" s="13">
        <f t="shared" si="11"/>
        <v>133</v>
      </c>
      <c r="G34" s="11"/>
      <c r="H34">
        <f t="shared" ref="H34:H39" si="14">F34</f>
        <v>133</v>
      </c>
      <c r="L34" s="7" t="str">
        <f t="shared" si="9"/>
        <v>boletins-000001-1327</v>
      </c>
      <c r="M34" s="3" t="str">
        <f t="shared" si="10"/>
        <v>boletins-000001-1460</v>
      </c>
      <c r="N34" s="8" t="str">
        <f t="shared" si="0"/>
        <v>Treino</v>
      </c>
      <c r="Q34" s="19"/>
      <c r="R34" s="19"/>
    </row>
    <row r="35" spans="1:18" x14ac:dyDescent="0.3">
      <c r="A35" s="17" t="s">
        <v>2</v>
      </c>
      <c r="B35" s="17" t="s">
        <v>9</v>
      </c>
      <c r="C35" s="17" t="s">
        <v>59</v>
      </c>
      <c r="D35" s="17">
        <v>1520</v>
      </c>
      <c r="E35" s="17">
        <v>1867</v>
      </c>
      <c r="F35" s="13">
        <f t="shared" si="11"/>
        <v>347</v>
      </c>
      <c r="G35" s="11"/>
      <c r="H35">
        <f t="shared" si="14"/>
        <v>347</v>
      </c>
      <c r="L35" s="7" t="str">
        <f t="shared" si="9"/>
        <v>boletins-000001-1520</v>
      </c>
      <c r="M35" s="3" t="str">
        <f t="shared" si="10"/>
        <v>boletins-000001-1867</v>
      </c>
      <c r="N35" s="8" t="str">
        <f t="shared" ref="N35:N61" si="15">IF(H35&gt;0,"Treino",IF(I35&gt;0,"Validação","Teste"))</f>
        <v>Treino</v>
      </c>
      <c r="Q35" s="19"/>
      <c r="R35" s="19"/>
    </row>
    <row r="36" spans="1:18" x14ac:dyDescent="0.3">
      <c r="A36" s="17" t="s">
        <v>2</v>
      </c>
      <c r="B36" s="17" t="s">
        <v>9</v>
      </c>
      <c r="C36" s="17" t="s">
        <v>60</v>
      </c>
      <c r="D36" s="17">
        <v>1994</v>
      </c>
      <c r="E36" s="17">
        <v>2194</v>
      </c>
      <c r="F36" s="13">
        <f t="shared" si="11"/>
        <v>200</v>
      </c>
      <c r="G36" s="11"/>
      <c r="H36">
        <f t="shared" si="14"/>
        <v>200</v>
      </c>
      <c r="L36" s="7" t="str">
        <f t="shared" si="9"/>
        <v>boletins-000001-1994</v>
      </c>
      <c r="M36" s="3" t="str">
        <f t="shared" si="10"/>
        <v>boletins-000001-2194</v>
      </c>
      <c r="N36" s="8" t="str">
        <f t="shared" si="15"/>
        <v>Treino</v>
      </c>
      <c r="Q36" s="19"/>
      <c r="R36" s="19"/>
    </row>
    <row r="37" spans="1:18" x14ac:dyDescent="0.3">
      <c r="A37" s="17" t="s">
        <v>2</v>
      </c>
      <c r="B37" s="17" t="s">
        <v>9</v>
      </c>
      <c r="C37" s="17" t="s">
        <v>61</v>
      </c>
      <c r="D37" s="17">
        <v>2337</v>
      </c>
      <c r="E37" s="17">
        <v>2563</v>
      </c>
      <c r="F37" s="13">
        <f t="shared" si="11"/>
        <v>226</v>
      </c>
      <c r="G37" s="11"/>
      <c r="H37">
        <f t="shared" si="14"/>
        <v>226</v>
      </c>
      <c r="L37" s="7" t="str">
        <f t="shared" si="9"/>
        <v>boletins-000001-2337</v>
      </c>
      <c r="M37" s="3" t="str">
        <f t="shared" si="10"/>
        <v>boletins-000001-2563</v>
      </c>
      <c r="N37" s="8" t="str">
        <f t="shared" si="15"/>
        <v>Treino</v>
      </c>
      <c r="Q37" s="19"/>
      <c r="R37" s="19"/>
    </row>
    <row r="38" spans="1:18" x14ac:dyDescent="0.3">
      <c r="A38" s="17" t="s">
        <v>2</v>
      </c>
      <c r="B38" s="17" t="s">
        <v>9</v>
      </c>
      <c r="C38" s="17" t="s">
        <v>62</v>
      </c>
      <c r="D38" s="17">
        <v>2653</v>
      </c>
      <c r="E38" s="17">
        <v>3036</v>
      </c>
      <c r="F38" s="13">
        <f t="shared" si="11"/>
        <v>383</v>
      </c>
      <c r="G38" s="11"/>
      <c r="H38">
        <f t="shared" si="14"/>
        <v>383</v>
      </c>
      <c r="L38" s="7" t="str">
        <f t="shared" si="9"/>
        <v>boletins-000001-2653</v>
      </c>
      <c r="M38" s="3" t="str">
        <f t="shared" si="10"/>
        <v>boletins-000001-3036</v>
      </c>
      <c r="N38" s="8" t="str">
        <f t="shared" si="15"/>
        <v>Treino</v>
      </c>
    </row>
    <row r="39" spans="1:18" x14ac:dyDescent="0.3">
      <c r="A39" s="17" t="s">
        <v>2</v>
      </c>
      <c r="B39" s="17" t="s">
        <v>9</v>
      </c>
      <c r="C39" s="17" t="s">
        <v>63</v>
      </c>
      <c r="D39" s="17">
        <v>3286</v>
      </c>
      <c r="E39" s="17">
        <v>3425</v>
      </c>
      <c r="F39" s="13">
        <f t="shared" si="11"/>
        <v>139</v>
      </c>
      <c r="H39">
        <f t="shared" si="14"/>
        <v>139</v>
      </c>
      <c r="L39" s="7" t="str">
        <f t="shared" si="9"/>
        <v>boletins-000001-3286</v>
      </c>
      <c r="M39" s="3" t="str">
        <f t="shared" si="10"/>
        <v>boletins-000001-3425</v>
      </c>
      <c r="N39" s="8" t="str">
        <f t="shared" si="15"/>
        <v>Treino</v>
      </c>
    </row>
    <row r="40" spans="1:18" x14ac:dyDescent="0.3">
      <c r="A40" s="17" t="s">
        <v>2</v>
      </c>
      <c r="B40" s="17" t="s">
        <v>9</v>
      </c>
      <c r="C40" s="17" t="s">
        <v>64</v>
      </c>
      <c r="D40" s="17">
        <v>3499</v>
      </c>
      <c r="E40" s="17">
        <v>3594</v>
      </c>
      <c r="F40" s="13">
        <f t="shared" si="11"/>
        <v>95</v>
      </c>
      <c r="J40">
        <f>F40</f>
        <v>95</v>
      </c>
      <c r="L40" s="7" t="str">
        <f t="shared" si="9"/>
        <v>boletins-000001-3499</v>
      </c>
      <c r="M40" s="3" t="str">
        <f t="shared" si="10"/>
        <v>boletins-000001-3594</v>
      </c>
      <c r="N40" s="8" t="str">
        <f t="shared" si="15"/>
        <v>Teste</v>
      </c>
    </row>
    <row r="41" spans="1:18" x14ac:dyDescent="0.3">
      <c r="A41" s="17" t="s">
        <v>2</v>
      </c>
      <c r="B41" s="17" t="s">
        <v>9</v>
      </c>
      <c r="C41" s="17" t="s">
        <v>65</v>
      </c>
      <c r="D41" s="17">
        <v>3643</v>
      </c>
      <c r="E41" s="17">
        <v>3749</v>
      </c>
      <c r="F41" s="13">
        <f t="shared" si="11"/>
        <v>106</v>
      </c>
      <c r="G41" s="11"/>
      <c r="I41">
        <f>F41</f>
        <v>106</v>
      </c>
      <c r="L41" s="7" t="str">
        <f t="shared" si="9"/>
        <v>boletins-000001-3643</v>
      </c>
      <c r="M41" s="3" t="str">
        <f t="shared" si="10"/>
        <v>boletins-000001-3749</v>
      </c>
      <c r="N41" s="8" t="str">
        <f t="shared" si="15"/>
        <v>Validação</v>
      </c>
    </row>
    <row r="42" spans="1:18" x14ac:dyDescent="0.3">
      <c r="A42" s="17" t="s">
        <v>3</v>
      </c>
      <c r="B42" s="17" t="s">
        <v>10</v>
      </c>
      <c r="C42" s="17" t="s">
        <v>66</v>
      </c>
      <c r="D42" s="17">
        <v>22</v>
      </c>
      <c r="E42" s="17">
        <v>254</v>
      </c>
      <c r="F42" s="13">
        <f t="shared" si="11"/>
        <v>232</v>
      </c>
      <c r="G42" s="11"/>
      <c r="H42">
        <f t="shared" ref="H42:H47" si="16">F42</f>
        <v>232</v>
      </c>
      <c r="L42" s="7" t="str">
        <f t="shared" si="9"/>
        <v>boletins-000002-22</v>
      </c>
      <c r="M42" s="3" t="str">
        <f t="shared" si="10"/>
        <v>boletins-000002-254</v>
      </c>
      <c r="N42" s="8" t="str">
        <f t="shared" si="15"/>
        <v>Treino</v>
      </c>
    </row>
    <row r="43" spans="1:18" x14ac:dyDescent="0.3">
      <c r="A43" s="17" t="s">
        <v>3</v>
      </c>
      <c r="B43" s="17" t="s">
        <v>10</v>
      </c>
      <c r="C43" s="17" t="s">
        <v>67</v>
      </c>
      <c r="D43" s="17">
        <v>408</v>
      </c>
      <c r="E43" s="17">
        <v>558</v>
      </c>
      <c r="F43" s="13">
        <f t="shared" si="11"/>
        <v>150</v>
      </c>
      <c r="G43" s="11"/>
      <c r="H43">
        <f t="shared" si="16"/>
        <v>150</v>
      </c>
      <c r="L43" s="7" t="str">
        <f t="shared" si="9"/>
        <v>boletins-000002-408</v>
      </c>
      <c r="M43" s="3" t="str">
        <f t="shared" si="10"/>
        <v>boletins-000002-558</v>
      </c>
      <c r="N43" s="8" t="str">
        <f t="shared" si="15"/>
        <v>Treino</v>
      </c>
    </row>
    <row r="44" spans="1:18" x14ac:dyDescent="0.3">
      <c r="A44" s="17" t="s">
        <v>3</v>
      </c>
      <c r="B44" s="17" t="s">
        <v>10</v>
      </c>
      <c r="C44" s="17" t="s">
        <v>68</v>
      </c>
      <c r="D44" s="17">
        <v>616</v>
      </c>
      <c r="E44" s="17">
        <v>764</v>
      </c>
      <c r="F44" s="13">
        <f t="shared" si="11"/>
        <v>148</v>
      </c>
      <c r="G44" s="11"/>
      <c r="H44">
        <f t="shared" si="16"/>
        <v>148</v>
      </c>
      <c r="L44" s="7" t="str">
        <f t="shared" si="9"/>
        <v>boletins-000002-616</v>
      </c>
      <c r="M44" s="3" t="str">
        <f t="shared" si="10"/>
        <v>boletins-000002-764</v>
      </c>
      <c r="N44" s="8" t="str">
        <f t="shared" si="15"/>
        <v>Treino</v>
      </c>
    </row>
    <row r="45" spans="1:18" x14ac:dyDescent="0.3">
      <c r="A45" s="17" t="s">
        <v>3</v>
      </c>
      <c r="B45" s="17" t="s">
        <v>10</v>
      </c>
      <c r="C45" s="17" t="s">
        <v>69</v>
      </c>
      <c r="D45" s="17">
        <v>802</v>
      </c>
      <c r="E45" s="17">
        <v>1093</v>
      </c>
      <c r="F45" s="13">
        <f t="shared" si="11"/>
        <v>291</v>
      </c>
      <c r="G45" s="11"/>
      <c r="H45">
        <f t="shared" si="16"/>
        <v>291</v>
      </c>
      <c r="L45" s="7" t="str">
        <f t="shared" si="9"/>
        <v>boletins-000002-802</v>
      </c>
      <c r="M45" s="3" t="str">
        <f t="shared" si="10"/>
        <v>boletins-000002-1093</v>
      </c>
      <c r="N45" s="8" t="str">
        <f t="shared" si="15"/>
        <v>Treino</v>
      </c>
    </row>
    <row r="46" spans="1:18" x14ac:dyDescent="0.3">
      <c r="A46" s="17" t="s">
        <v>3</v>
      </c>
      <c r="B46" s="17" t="s">
        <v>10</v>
      </c>
      <c r="C46" s="17" t="s">
        <v>70</v>
      </c>
      <c r="D46" s="17">
        <v>1213</v>
      </c>
      <c r="E46" s="17">
        <v>1321</v>
      </c>
      <c r="F46" s="13">
        <f t="shared" si="11"/>
        <v>108</v>
      </c>
      <c r="G46" s="11"/>
      <c r="H46">
        <f t="shared" si="16"/>
        <v>108</v>
      </c>
      <c r="L46" s="7" t="str">
        <f t="shared" si="9"/>
        <v>boletins-000002-1213</v>
      </c>
      <c r="M46" s="3" t="str">
        <f t="shared" si="10"/>
        <v>boletins-000002-1321</v>
      </c>
      <c r="N46" s="8" t="str">
        <f t="shared" si="15"/>
        <v>Treino</v>
      </c>
    </row>
    <row r="47" spans="1:18" x14ac:dyDescent="0.3">
      <c r="A47" s="17" t="s">
        <v>3</v>
      </c>
      <c r="B47" s="17" t="s">
        <v>10</v>
      </c>
      <c r="C47" s="17" t="s">
        <v>71</v>
      </c>
      <c r="D47" s="17">
        <v>1354</v>
      </c>
      <c r="E47" s="17">
        <v>1674</v>
      </c>
      <c r="F47" s="13">
        <f t="shared" si="11"/>
        <v>320</v>
      </c>
      <c r="H47">
        <f t="shared" si="16"/>
        <v>320</v>
      </c>
      <c r="L47" s="7" t="str">
        <f t="shared" si="9"/>
        <v>boletins-000002-1354</v>
      </c>
      <c r="M47" s="3" t="str">
        <f t="shared" si="10"/>
        <v>boletins-000002-1674</v>
      </c>
      <c r="N47" s="8" t="str">
        <f t="shared" si="15"/>
        <v>Treino</v>
      </c>
    </row>
    <row r="48" spans="1:18" x14ac:dyDescent="0.3">
      <c r="A48" s="17" t="s">
        <v>3</v>
      </c>
      <c r="B48" s="17" t="s">
        <v>10</v>
      </c>
      <c r="C48" s="17" t="s">
        <v>72</v>
      </c>
      <c r="D48" s="17">
        <v>1820</v>
      </c>
      <c r="E48" s="17">
        <v>2053</v>
      </c>
      <c r="F48" s="13">
        <f t="shared" si="11"/>
        <v>233</v>
      </c>
      <c r="G48" s="11"/>
      <c r="J48">
        <f>F48</f>
        <v>233</v>
      </c>
      <c r="L48" s="7" t="str">
        <f t="shared" si="9"/>
        <v>boletins-000002-1820</v>
      </c>
      <c r="M48" s="3" t="str">
        <f t="shared" si="10"/>
        <v>boletins-000002-2053</v>
      </c>
      <c r="N48" s="8" t="str">
        <f t="shared" si="15"/>
        <v>Teste</v>
      </c>
    </row>
    <row r="49" spans="1:14" x14ac:dyDescent="0.3">
      <c r="A49" s="17" t="s">
        <v>3</v>
      </c>
      <c r="B49" s="17" t="s">
        <v>10</v>
      </c>
      <c r="C49" s="17" t="s">
        <v>73</v>
      </c>
      <c r="D49" s="17">
        <v>2129</v>
      </c>
      <c r="E49" s="17">
        <v>2460</v>
      </c>
      <c r="F49" s="13">
        <f t="shared" si="11"/>
        <v>331</v>
      </c>
      <c r="J49">
        <f>F49</f>
        <v>331</v>
      </c>
      <c r="L49" s="7" t="str">
        <f t="shared" si="9"/>
        <v>boletins-000002-2129</v>
      </c>
      <c r="M49" s="3" t="str">
        <f t="shared" si="10"/>
        <v>boletins-000002-2460</v>
      </c>
      <c r="N49" s="8" t="str">
        <f t="shared" si="15"/>
        <v>Teste</v>
      </c>
    </row>
    <row r="50" spans="1:14" x14ac:dyDescent="0.3">
      <c r="A50" s="17" t="s">
        <v>4</v>
      </c>
      <c r="B50" s="17" t="s">
        <v>17</v>
      </c>
      <c r="C50" s="17" t="s">
        <v>74</v>
      </c>
      <c r="D50" s="17">
        <v>1</v>
      </c>
      <c r="E50" s="17">
        <v>521</v>
      </c>
      <c r="F50" s="13">
        <f t="shared" si="11"/>
        <v>520</v>
      </c>
      <c r="G50" s="11"/>
      <c r="H50">
        <f>F50</f>
        <v>520</v>
      </c>
      <c r="L50" s="7" t="str">
        <f t="shared" si="9"/>
        <v>boletins-000011-1</v>
      </c>
      <c r="M50" s="3" t="str">
        <f t="shared" si="10"/>
        <v>boletins-000011-521</v>
      </c>
      <c r="N50" s="8" t="str">
        <f t="shared" si="15"/>
        <v>Treino</v>
      </c>
    </row>
    <row r="51" spans="1:14" x14ac:dyDescent="0.3">
      <c r="A51" s="17" t="s">
        <v>4</v>
      </c>
      <c r="B51" s="17" t="s">
        <v>17</v>
      </c>
      <c r="C51" s="17" t="s">
        <v>75</v>
      </c>
      <c r="D51" s="17">
        <v>675</v>
      </c>
      <c r="E51" s="17">
        <v>808</v>
      </c>
      <c r="F51" s="13">
        <f t="shared" si="11"/>
        <v>133</v>
      </c>
      <c r="G51" s="11"/>
      <c r="H51">
        <f t="shared" ref="H51:H56" si="17">F51</f>
        <v>133</v>
      </c>
      <c r="L51" s="7" t="str">
        <f t="shared" si="9"/>
        <v>boletins-000011-675</v>
      </c>
      <c r="M51" s="3" t="str">
        <f t="shared" si="10"/>
        <v>boletins-000011-808</v>
      </c>
      <c r="N51" s="8" t="str">
        <f t="shared" si="15"/>
        <v>Treino</v>
      </c>
    </row>
    <row r="52" spans="1:14" x14ac:dyDescent="0.3">
      <c r="A52" s="17" t="s">
        <v>4</v>
      </c>
      <c r="B52" s="17" t="s">
        <v>17</v>
      </c>
      <c r="C52" s="17" t="s">
        <v>76</v>
      </c>
      <c r="D52" s="17">
        <v>903</v>
      </c>
      <c r="E52" s="17">
        <v>1039</v>
      </c>
      <c r="F52" s="13">
        <f t="shared" ref="F52:F64" si="18">E52-D52</f>
        <v>136</v>
      </c>
      <c r="G52" s="11"/>
      <c r="H52">
        <f t="shared" si="17"/>
        <v>136</v>
      </c>
      <c r="L52" s="7" t="str">
        <f t="shared" si="9"/>
        <v>boletins-000011-903</v>
      </c>
      <c r="M52" s="3" t="str">
        <f t="shared" si="10"/>
        <v>boletins-000011-1039</v>
      </c>
      <c r="N52" s="8" t="str">
        <f t="shared" si="15"/>
        <v>Treino</v>
      </c>
    </row>
    <row r="53" spans="1:14" x14ac:dyDescent="0.3">
      <c r="A53" s="17" t="s">
        <v>4</v>
      </c>
      <c r="B53" s="17" t="s">
        <v>17</v>
      </c>
      <c r="C53" s="17" t="s">
        <v>77</v>
      </c>
      <c r="D53" s="17">
        <v>1141</v>
      </c>
      <c r="E53" s="17">
        <v>1230</v>
      </c>
      <c r="F53" s="13">
        <f t="shared" si="18"/>
        <v>89</v>
      </c>
      <c r="G53" s="11"/>
      <c r="H53">
        <f t="shared" si="17"/>
        <v>89</v>
      </c>
      <c r="L53" s="7" t="str">
        <f t="shared" si="9"/>
        <v>boletins-000011-1141</v>
      </c>
      <c r="M53" s="3" t="str">
        <f t="shared" si="10"/>
        <v>boletins-000011-1230</v>
      </c>
      <c r="N53" s="8" t="str">
        <f t="shared" si="15"/>
        <v>Treino</v>
      </c>
    </row>
    <row r="54" spans="1:14" x14ac:dyDescent="0.3">
      <c r="A54" s="17" t="s">
        <v>4</v>
      </c>
      <c r="B54" s="17" t="s">
        <v>17</v>
      </c>
      <c r="C54" s="17" t="s">
        <v>78</v>
      </c>
      <c r="D54" s="17">
        <v>1289</v>
      </c>
      <c r="E54" s="17">
        <v>1484</v>
      </c>
      <c r="F54" s="13">
        <f t="shared" si="18"/>
        <v>195</v>
      </c>
      <c r="G54" s="11"/>
      <c r="H54">
        <f t="shared" si="17"/>
        <v>195</v>
      </c>
      <c r="L54" s="7" t="str">
        <f t="shared" si="9"/>
        <v>boletins-000011-1289</v>
      </c>
      <c r="M54" s="3" t="str">
        <f t="shared" si="10"/>
        <v>boletins-000011-1484</v>
      </c>
      <c r="N54" s="8" t="str">
        <f t="shared" si="15"/>
        <v>Treino</v>
      </c>
    </row>
    <row r="55" spans="1:14" x14ac:dyDescent="0.3">
      <c r="A55" s="17" t="s">
        <v>4</v>
      </c>
      <c r="B55" s="17" t="s">
        <v>17</v>
      </c>
      <c r="C55" s="17" t="s">
        <v>79</v>
      </c>
      <c r="D55" s="17">
        <v>1598</v>
      </c>
      <c r="E55" s="17">
        <v>1835</v>
      </c>
      <c r="F55" s="13">
        <f t="shared" si="18"/>
        <v>237</v>
      </c>
      <c r="G55" s="11"/>
      <c r="H55">
        <f t="shared" si="17"/>
        <v>237</v>
      </c>
      <c r="L55" s="7" t="str">
        <f t="shared" si="9"/>
        <v>boletins-000011-1598</v>
      </c>
      <c r="M55" s="3" t="str">
        <f t="shared" si="10"/>
        <v>boletins-000011-1835</v>
      </c>
      <c r="N55" s="8" t="str">
        <f t="shared" si="15"/>
        <v>Treino</v>
      </c>
    </row>
    <row r="56" spans="1:14" x14ac:dyDescent="0.3">
      <c r="A56" s="17" t="s">
        <v>4</v>
      </c>
      <c r="B56" s="17" t="s">
        <v>17</v>
      </c>
      <c r="C56" s="17" t="s">
        <v>80</v>
      </c>
      <c r="D56" s="17">
        <v>1964</v>
      </c>
      <c r="E56" s="17">
        <v>2156</v>
      </c>
      <c r="F56" s="13">
        <f t="shared" si="18"/>
        <v>192</v>
      </c>
      <c r="H56">
        <f t="shared" si="17"/>
        <v>192</v>
      </c>
      <c r="L56" s="7" t="str">
        <f t="shared" si="9"/>
        <v>boletins-000011-1964</v>
      </c>
      <c r="M56" s="3" t="str">
        <f t="shared" si="10"/>
        <v>boletins-000011-2156</v>
      </c>
      <c r="N56" s="8" t="str">
        <f t="shared" si="15"/>
        <v>Treino</v>
      </c>
    </row>
    <row r="57" spans="1:14" x14ac:dyDescent="0.3">
      <c r="A57" s="17" t="s">
        <v>4</v>
      </c>
      <c r="B57" s="17" t="s">
        <v>17</v>
      </c>
      <c r="C57" s="17" t="s">
        <v>81</v>
      </c>
      <c r="D57" s="17">
        <v>2268</v>
      </c>
      <c r="E57" s="17">
        <v>2347</v>
      </c>
      <c r="F57" s="13">
        <f t="shared" si="18"/>
        <v>79</v>
      </c>
      <c r="J57">
        <f>F57</f>
        <v>79</v>
      </c>
      <c r="L57" s="7" t="str">
        <f t="shared" si="9"/>
        <v>boletins-000011-2268</v>
      </c>
      <c r="M57" s="3" t="str">
        <f t="shared" si="10"/>
        <v>boletins-000011-2347</v>
      </c>
      <c r="N57" s="8" t="str">
        <f t="shared" si="15"/>
        <v>Teste</v>
      </c>
    </row>
    <row r="58" spans="1:14" x14ac:dyDescent="0.3">
      <c r="A58" s="17" t="s">
        <v>4</v>
      </c>
      <c r="B58" s="17" t="s">
        <v>17</v>
      </c>
      <c r="C58" s="17" t="s">
        <v>82</v>
      </c>
      <c r="D58" s="17">
        <v>2481</v>
      </c>
      <c r="E58" s="17">
        <v>2517</v>
      </c>
      <c r="F58" s="13">
        <f t="shared" si="18"/>
        <v>36</v>
      </c>
      <c r="G58" s="11"/>
      <c r="I58">
        <f>F58</f>
        <v>36</v>
      </c>
      <c r="L58" s="7" t="str">
        <f t="shared" si="9"/>
        <v>boletins-000011-2481</v>
      </c>
      <c r="M58" s="3" t="str">
        <f t="shared" si="10"/>
        <v>boletins-000011-2517</v>
      </c>
      <c r="N58" s="8" t="str">
        <f t="shared" si="15"/>
        <v>Validação</v>
      </c>
    </row>
    <row r="59" spans="1:14" x14ac:dyDescent="0.3">
      <c r="A59" s="17" t="s">
        <v>5</v>
      </c>
      <c r="B59" s="17" t="s">
        <v>16</v>
      </c>
      <c r="C59" s="17" t="s">
        <v>83</v>
      </c>
      <c r="D59" s="17">
        <v>26</v>
      </c>
      <c r="E59" s="17">
        <v>236</v>
      </c>
      <c r="F59" s="13">
        <f t="shared" si="18"/>
        <v>210</v>
      </c>
      <c r="H59">
        <f t="shared" ref="H59:H64" si="19">F59</f>
        <v>210</v>
      </c>
      <c r="L59" s="7" t="str">
        <f t="shared" si="9"/>
        <v>boletins-000004-26</v>
      </c>
      <c r="M59" s="3" t="str">
        <f t="shared" si="10"/>
        <v>boletins-000004-236</v>
      </c>
      <c r="N59" s="8" t="str">
        <f t="shared" si="15"/>
        <v>Treino</v>
      </c>
    </row>
    <row r="60" spans="1:14" x14ac:dyDescent="0.3">
      <c r="A60" s="17" t="s">
        <v>5</v>
      </c>
      <c r="B60" s="17" t="s">
        <v>16</v>
      </c>
      <c r="C60" s="17" t="s">
        <v>84</v>
      </c>
      <c r="D60" s="17">
        <v>554</v>
      </c>
      <c r="E60" s="17">
        <v>729</v>
      </c>
      <c r="F60" s="13">
        <f t="shared" si="18"/>
        <v>175</v>
      </c>
      <c r="H60">
        <f t="shared" si="19"/>
        <v>175</v>
      </c>
      <c r="L60" s="7" t="str">
        <f t="shared" si="9"/>
        <v>boletins-000004-554</v>
      </c>
      <c r="M60" s="3" t="str">
        <f t="shared" si="10"/>
        <v>boletins-000004-729</v>
      </c>
      <c r="N60" s="8" t="str">
        <f t="shared" si="15"/>
        <v>Treino</v>
      </c>
    </row>
    <row r="61" spans="1:14" x14ac:dyDescent="0.3">
      <c r="A61" s="17" t="s">
        <v>5</v>
      </c>
      <c r="B61" s="17" t="s">
        <v>16</v>
      </c>
      <c r="C61" s="17" t="s">
        <v>85</v>
      </c>
      <c r="D61" s="17">
        <v>944</v>
      </c>
      <c r="E61" s="17">
        <v>1214</v>
      </c>
      <c r="F61" s="13">
        <f t="shared" si="18"/>
        <v>270</v>
      </c>
      <c r="H61">
        <f t="shared" si="19"/>
        <v>270</v>
      </c>
      <c r="L61" s="7" t="str">
        <f t="shared" si="9"/>
        <v>boletins-000004-944</v>
      </c>
      <c r="M61" s="3" t="str">
        <f t="shared" si="10"/>
        <v>boletins-000004-1214</v>
      </c>
      <c r="N61" s="8" t="str">
        <f t="shared" si="15"/>
        <v>Treino</v>
      </c>
    </row>
    <row r="62" spans="1:14" x14ac:dyDescent="0.3">
      <c r="A62" s="17" t="s">
        <v>5</v>
      </c>
      <c r="B62" s="17" t="s">
        <v>16</v>
      </c>
      <c r="C62" s="17" t="s">
        <v>86</v>
      </c>
      <c r="D62" s="17">
        <v>1324</v>
      </c>
      <c r="E62" s="17">
        <v>1616</v>
      </c>
      <c r="F62" s="13">
        <f t="shared" si="18"/>
        <v>292</v>
      </c>
      <c r="H62">
        <f t="shared" si="19"/>
        <v>292</v>
      </c>
      <c r="L62" s="7" t="str">
        <f t="shared" si="9"/>
        <v>boletins-000004-1324</v>
      </c>
      <c r="M62" s="3" t="str">
        <f t="shared" si="10"/>
        <v>boletins-000004-1616</v>
      </c>
      <c r="N62" s="8" t="str">
        <f t="shared" ref="N62:N91" si="20">IF(H62&gt;0,"Treino",IF(I62&gt;0,"Validação","Teste"))</f>
        <v>Treino</v>
      </c>
    </row>
    <row r="63" spans="1:14" x14ac:dyDescent="0.3">
      <c r="A63" s="17" t="s">
        <v>5</v>
      </c>
      <c r="B63" s="17" t="s">
        <v>16</v>
      </c>
      <c r="C63" s="17" t="s">
        <v>87</v>
      </c>
      <c r="D63" s="17">
        <v>1847</v>
      </c>
      <c r="E63" s="17">
        <v>2189</v>
      </c>
      <c r="F63" s="13">
        <f t="shared" si="18"/>
        <v>342</v>
      </c>
      <c r="H63">
        <f t="shared" si="19"/>
        <v>342</v>
      </c>
      <c r="L63" s="7" t="str">
        <f t="shared" si="9"/>
        <v>boletins-000004-1847</v>
      </c>
      <c r="M63" s="3" t="str">
        <f t="shared" si="10"/>
        <v>boletins-000004-2189</v>
      </c>
      <c r="N63" s="8" t="str">
        <f t="shared" si="20"/>
        <v>Treino</v>
      </c>
    </row>
    <row r="64" spans="1:14" x14ac:dyDescent="0.3">
      <c r="A64" s="17" t="s">
        <v>5</v>
      </c>
      <c r="B64" s="17" t="s">
        <v>16</v>
      </c>
      <c r="C64" s="17" t="s">
        <v>88</v>
      </c>
      <c r="D64" s="17">
        <v>2283</v>
      </c>
      <c r="E64" s="17">
        <v>2480</v>
      </c>
      <c r="F64" s="13">
        <f t="shared" si="18"/>
        <v>197</v>
      </c>
      <c r="H64">
        <f t="shared" si="19"/>
        <v>197</v>
      </c>
      <c r="L64" s="7" t="str">
        <f t="shared" si="9"/>
        <v>boletins-000004-2283</v>
      </c>
      <c r="M64" s="3" t="str">
        <f t="shared" si="10"/>
        <v>boletins-000004-2480</v>
      </c>
      <c r="N64" s="8" t="str">
        <f t="shared" si="20"/>
        <v>Treino</v>
      </c>
    </row>
    <row r="65" spans="1:14" x14ac:dyDescent="0.3">
      <c r="A65" s="17" t="s">
        <v>5</v>
      </c>
      <c r="B65" s="17" t="s">
        <v>16</v>
      </c>
      <c r="C65" s="17" t="s">
        <v>89</v>
      </c>
      <c r="D65" s="17">
        <v>2897</v>
      </c>
      <c r="E65" s="17">
        <v>3235</v>
      </c>
      <c r="F65" s="13">
        <f t="shared" ref="F65:F70" si="21">E65-D65</f>
        <v>338</v>
      </c>
      <c r="J65">
        <f>F65</f>
        <v>338</v>
      </c>
      <c r="L65" s="7" t="str">
        <f t="shared" si="9"/>
        <v>boletins-000004-2897</v>
      </c>
      <c r="M65" s="3" t="str">
        <f t="shared" si="10"/>
        <v>boletins-000004-3235</v>
      </c>
      <c r="N65" s="8" t="str">
        <f t="shared" si="20"/>
        <v>Teste</v>
      </c>
    </row>
    <row r="66" spans="1:14" x14ac:dyDescent="0.3">
      <c r="A66" s="17" t="s">
        <v>5</v>
      </c>
      <c r="B66" s="17" t="s">
        <v>16</v>
      </c>
      <c r="C66" s="17" t="s">
        <v>90</v>
      </c>
      <c r="D66" s="17">
        <v>3537</v>
      </c>
      <c r="E66" s="17">
        <v>3607</v>
      </c>
      <c r="F66" s="13">
        <f t="shared" si="21"/>
        <v>70</v>
      </c>
      <c r="J66">
        <f>F66</f>
        <v>70</v>
      </c>
      <c r="L66" s="7" t="str">
        <f t="shared" si="9"/>
        <v>boletins-000004-3537</v>
      </c>
      <c r="M66" s="3" t="str">
        <f t="shared" si="10"/>
        <v>boletins-000004-3607</v>
      </c>
      <c r="N66" s="8" t="str">
        <f t="shared" si="20"/>
        <v>Teste</v>
      </c>
    </row>
    <row r="67" spans="1:14" x14ac:dyDescent="0.3">
      <c r="A67" s="17" t="s">
        <v>5</v>
      </c>
      <c r="B67" s="17" t="s">
        <v>16</v>
      </c>
      <c r="C67" s="17" t="s">
        <v>91</v>
      </c>
      <c r="D67" s="17">
        <v>3639</v>
      </c>
      <c r="E67" s="17">
        <v>3676</v>
      </c>
      <c r="F67" s="13">
        <f t="shared" si="21"/>
        <v>37</v>
      </c>
      <c r="I67">
        <f>F67</f>
        <v>37</v>
      </c>
      <c r="L67" s="7" t="str">
        <f t="shared" si="9"/>
        <v>boletins-000004-3639</v>
      </c>
      <c r="M67" s="3" t="str">
        <f t="shared" si="10"/>
        <v>boletins-000004-3676</v>
      </c>
      <c r="N67" s="8" t="str">
        <f t="shared" si="20"/>
        <v>Validação</v>
      </c>
    </row>
    <row r="68" spans="1:14" x14ac:dyDescent="0.3">
      <c r="A68" s="17" t="s">
        <v>5</v>
      </c>
      <c r="B68" s="17" t="s">
        <v>16</v>
      </c>
      <c r="C68" s="17" t="s">
        <v>92</v>
      </c>
      <c r="D68" s="17">
        <v>3744</v>
      </c>
      <c r="E68" s="17">
        <v>3784</v>
      </c>
      <c r="F68" s="13">
        <f t="shared" si="21"/>
        <v>40</v>
      </c>
      <c r="I68">
        <f>F68</f>
        <v>40</v>
      </c>
      <c r="L68" s="7" t="str">
        <f t="shared" si="9"/>
        <v>boletins-000004-3744</v>
      </c>
      <c r="M68" s="3" t="str">
        <f t="shared" si="10"/>
        <v>boletins-000004-3784</v>
      </c>
      <c r="N68" s="8" t="str">
        <f t="shared" si="20"/>
        <v>Validação</v>
      </c>
    </row>
    <row r="69" spans="1:14" x14ac:dyDescent="0.3">
      <c r="A69" s="17" t="s">
        <v>7</v>
      </c>
      <c r="B69" s="17" t="s">
        <v>15</v>
      </c>
      <c r="C69" s="17" t="s">
        <v>93</v>
      </c>
      <c r="D69" s="17">
        <v>2</v>
      </c>
      <c r="E69" s="17">
        <v>163</v>
      </c>
      <c r="F69" s="14">
        <f t="shared" si="21"/>
        <v>161</v>
      </c>
      <c r="G69" s="2"/>
      <c r="H69" s="2">
        <f>F69</f>
        <v>161</v>
      </c>
      <c r="I69" s="2"/>
      <c r="J69" s="2"/>
      <c r="L69" s="7" t="str">
        <f t="shared" si="9"/>
        <v>boletins-000005-2</v>
      </c>
      <c r="M69" s="3" t="str">
        <f t="shared" si="10"/>
        <v>boletins-000005-163</v>
      </c>
      <c r="N69" s="8" t="str">
        <f t="shared" si="20"/>
        <v>Treino</v>
      </c>
    </row>
    <row r="70" spans="1:14" x14ac:dyDescent="0.3">
      <c r="A70" s="17" t="s">
        <v>7</v>
      </c>
      <c r="B70" s="17" t="s">
        <v>15</v>
      </c>
      <c r="C70" s="17" t="s">
        <v>94</v>
      </c>
      <c r="D70" s="17">
        <v>274</v>
      </c>
      <c r="E70" s="17">
        <v>451</v>
      </c>
      <c r="F70" s="14">
        <f t="shared" si="21"/>
        <v>177</v>
      </c>
      <c r="G70" s="2"/>
      <c r="H70" s="2">
        <f t="shared" ref="H70:H73" si="22">F70</f>
        <v>177</v>
      </c>
      <c r="I70" s="2"/>
      <c r="J70" s="2"/>
      <c r="L70" s="7" t="str">
        <f t="shared" si="9"/>
        <v>boletins-000005-274</v>
      </c>
      <c r="M70" s="3" t="str">
        <f t="shared" si="10"/>
        <v>boletins-000005-451</v>
      </c>
      <c r="N70" s="8" t="str">
        <f t="shared" si="20"/>
        <v>Treino</v>
      </c>
    </row>
    <row r="71" spans="1:14" x14ac:dyDescent="0.3">
      <c r="A71" s="17" t="s">
        <v>7</v>
      </c>
      <c r="B71" s="17" t="s">
        <v>15</v>
      </c>
      <c r="C71" s="17" t="s">
        <v>95</v>
      </c>
      <c r="D71" s="17">
        <v>520</v>
      </c>
      <c r="E71" s="17">
        <v>686</v>
      </c>
      <c r="F71" s="14">
        <f t="shared" ref="F71:F78" si="23">E71-D71</f>
        <v>166</v>
      </c>
      <c r="G71" s="2"/>
      <c r="H71" s="2">
        <f t="shared" si="22"/>
        <v>166</v>
      </c>
      <c r="I71" s="2"/>
      <c r="J71" s="2"/>
      <c r="L71" s="7" t="str">
        <f t="shared" si="9"/>
        <v>boletins-000005-520</v>
      </c>
      <c r="M71" s="3" t="str">
        <f t="shared" si="10"/>
        <v>boletins-000005-686</v>
      </c>
      <c r="N71" s="8" t="str">
        <f t="shared" si="20"/>
        <v>Treino</v>
      </c>
    </row>
    <row r="72" spans="1:14" x14ac:dyDescent="0.3">
      <c r="A72" s="17" t="s">
        <v>7</v>
      </c>
      <c r="B72" s="17" t="s">
        <v>15</v>
      </c>
      <c r="C72" s="17" t="s">
        <v>96</v>
      </c>
      <c r="D72" s="17">
        <v>779</v>
      </c>
      <c r="E72" s="17">
        <v>945</v>
      </c>
      <c r="F72" s="14">
        <f t="shared" si="23"/>
        <v>166</v>
      </c>
      <c r="G72" s="2"/>
      <c r="H72" s="2">
        <f t="shared" si="22"/>
        <v>166</v>
      </c>
      <c r="I72" s="2"/>
      <c r="J72" s="2"/>
      <c r="L72" s="7" t="str">
        <f t="shared" si="9"/>
        <v>boletins-000005-779</v>
      </c>
      <c r="M72" s="3" t="str">
        <f t="shared" si="10"/>
        <v>boletins-000005-945</v>
      </c>
      <c r="N72" s="8" t="str">
        <f t="shared" si="20"/>
        <v>Treino</v>
      </c>
    </row>
    <row r="73" spans="1:14" x14ac:dyDescent="0.3">
      <c r="A73" s="17" t="s">
        <v>7</v>
      </c>
      <c r="B73" s="17" t="s">
        <v>15</v>
      </c>
      <c r="C73" s="17" t="s">
        <v>97</v>
      </c>
      <c r="D73" s="17">
        <v>1135</v>
      </c>
      <c r="E73" s="17">
        <v>1463</v>
      </c>
      <c r="F73" s="14">
        <f t="shared" si="23"/>
        <v>328</v>
      </c>
      <c r="G73" s="2"/>
      <c r="H73" s="2">
        <f t="shared" si="22"/>
        <v>328</v>
      </c>
      <c r="I73" s="2"/>
      <c r="J73" s="2"/>
      <c r="L73" s="7" t="str">
        <f t="shared" si="9"/>
        <v>boletins-000005-1135</v>
      </c>
      <c r="M73" s="3" t="str">
        <f t="shared" si="10"/>
        <v>boletins-000005-1463</v>
      </c>
      <c r="N73" s="8" t="str">
        <f t="shared" si="20"/>
        <v>Treino</v>
      </c>
    </row>
    <row r="74" spans="1:14" x14ac:dyDescent="0.3">
      <c r="A74" s="17" t="s">
        <v>7</v>
      </c>
      <c r="B74" s="17" t="s">
        <v>15</v>
      </c>
      <c r="C74" s="17" t="s">
        <v>98</v>
      </c>
      <c r="D74" s="17">
        <v>1620</v>
      </c>
      <c r="E74" s="17">
        <v>2040</v>
      </c>
      <c r="F74" s="14">
        <f t="shared" si="23"/>
        <v>420</v>
      </c>
      <c r="G74" s="2"/>
      <c r="H74" s="2"/>
      <c r="I74" s="2"/>
      <c r="J74" s="2">
        <f>F74</f>
        <v>420</v>
      </c>
      <c r="L74" s="7" t="str">
        <f t="shared" si="9"/>
        <v>boletins-000005-1620</v>
      </c>
      <c r="M74" s="3" t="str">
        <f t="shared" si="10"/>
        <v>boletins-000005-2040</v>
      </c>
      <c r="N74" s="8" t="str">
        <f t="shared" si="20"/>
        <v>Teste</v>
      </c>
    </row>
    <row r="75" spans="1:14" x14ac:dyDescent="0.3">
      <c r="A75" s="17" t="s">
        <v>7</v>
      </c>
      <c r="B75" s="17" t="s">
        <v>15</v>
      </c>
      <c r="C75" s="17" t="s">
        <v>99</v>
      </c>
      <c r="D75" s="17">
        <v>2043</v>
      </c>
      <c r="E75" s="17">
        <v>2085</v>
      </c>
      <c r="F75" s="14">
        <f t="shared" si="23"/>
        <v>42</v>
      </c>
      <c r="G75" s="2"/>
      <c r="H75" s="2"/>
      <c r="I75" s="2">
        <f>F75</f>
        <v>42</v>
      </c>
      <c r="J75" s="2"/>
      <c r="L75" s="7" t="str">
        <f t="shared" si="9"/>
        <v>boletins-000005-2043</v>
      </c>
      <c r="M75" s="3" t="str">
        <f t="shared" si="10"/>
        <v>boletins-000005-2085</v>
      </c>
      <c r="N75" s="8" t="str">
        <f t="shared" si="20"/>
        <v>Validação</v>
      </c>
    </row>
    <row r="76" spans="1:14" x14ac:dyDescent="0.3">
      <c r="A76" s="17" t="s">
        <v>7</v>
      </c>
      <c r="B76" s="17" t="s">
        <v>15</v>
      </c>
      <c r="C76" s="17" t="s">
        <v>100</v>
      </c>
      <c r="D76" s="17">
        <v>2109</v>
      </c>
      <c r="E76" s="17">
        <v>2224</v>
      </c>
      <c r="F76" s="14">
        <f t="shared" si="23"/>
        <v>115</v>
      </c>
      <c r="G76" s="2"/>
      <c r="H76" s="2"/>
      <c r="I76" s="2">
        <f>F76</f>
        <v>115</v>
      </c>
      <c r="J76" s="2"/>
      <c r="L76" s="7" t="str">
        <f t="shared" si="9"/>
        <v>boletins-000005-2109</v>
      </c>
      <c r="M76" s="3" t="str">
        <f t="shared" si="10"/>
        <v>boletins-000005-2224</v>
      </c>
      <c r="N76" s="8" t="str">
        <f t="shared" si="20"/>
        <v>Validação</v>
      </c>
    </row>
    <row r="77" spans="1:14" x14ac:dyDescent="0.3">
      <c r="A77" s="17" t="s">
        <v>6</v>
      </c>
      <c r="B77" s="17" t="s">
        <v>14</v>
      </c>
      <c r="C77" s="17" t="s">
        <v>101</v>
      </c>
      <c r="D77" s="17">
        <v>2</v>
      </c>
      <c r="E77" s="17">
        <v>109</v>
      </c>
      <c r="F77" s="14">
        <f t="shared" si="23"/>
        <v>107</v>
      </c>
      <c r="G77" s="2"/>
      <c r="H77">
        <f t="shared" ref="H77:H78" si="24">F77</f>
        <v>107</v>
      </c>
      <c r="I77" s="2"/>
      <c r="J77" s="2"/>
      <c r="L77" s="7" t="str">
        <f t="shared" si="9"/>
        <v>boletins-000003-2</v>
      </c>
      <c r="M77" s="3" t="str">
        <f t="shared" si="10"/>
        <v>boletins-000003-109</v>
      </c>
      <c r="N77" s="8" t="str">
        <f t="shared" si="20"/>
        <v>Treino</v>
      </c>
    </row>
    <row r="78" spans="1:14" x14ac:dyDescent="0.3">
      <c r="A78" s="17" t="s">
        <v>6</v>
      </c>
      <c r="B78" s="17" t="s">
        <v>14</v>
      </c>
      <c r="C78" s="17" t="s">
        <v>102</v>
      </c>
      <c r="D78" s="17">
        <v>232</v>
      </c>
      <c r="E78" s="17">
        <v>371</v>
      </c>
      <c r="F78" s="14">
        <f t="shared" si="23"/>
        <v>139</v>
      </c>
      <c r="G78" s="2"/>
      <c r="H78" s="2">
        <f t="shared" si="24"/>
        <v>139</v>
      </c>
      <c r="I78" s="2"/>
      <c r="J78" s="2"/>
      <c r="L78" s="7" t="str">
        <f t="shared" si="9"/>
        <v>boletins-000003-232</v>
      </c>
      <c r="M78" s="3" t="str">
        <f t="shared" si="10"/>
        <v>boletins-000003-371</v>
      </c>
      <c r="N78" s="8" t="str">
        <f t="shared" si="20"/>
        <v>Treino</v>
      </c>
    </row>
    <row r="79" spans="1:14" x14ac:dyDescent="0.3">
      <c r="A79" s="17" t="s">
        <v>6</v>
      </c>
      <c r="B79" s="17" t="s">
        <v>14</v>
      </c>
      <c r="C79" s="17" t="s">
        <v>103</v>
      </c>
      <c r="D79" s="17">
        <v>460</v>
      </c>
      <c r="E79" s="17">
        <v>672</v>
      </c>
      <c r="F79" s="14">
        <f t="shared" ref="F79:F86" si="25">E79-D79</f>
        <v>212</v>
      </c>
      <c r="G79" s="2"/>
      <c r="H79" s="2">
        <f>F79</f>
        <v>212</v>
      </c>
      <c r="I79" s="2"/>
      <c r="J79" s="2"/>
      <c r="L79" s="7" t="str">
        <f t="shared" si="9"/>
        <v>boletins-000003-460</v>
      </c>
      <c r="M79" s="3" t="str">
        <f t="shared" si="10"/>
        <v>boletins-000003-672</v>
      </c>
      <c r="N79" s="8" t="str">
        <f t="shared" si="20"/>
        <v>Treino</v>
      </c>
    </row>
    <row r="80" spans="1:14" x14ac:dyDescent="0.3">
      <c r="A80" s="17" t="s">
        <v>6</v>
      </c>
      <c r="B80" s="17" t="s">
        <v>14</v>
      </c>
      <c r="C80" s="17" t="s">
        <v>104</v>
      </c>
      <c r="D80" s="17">
        <v>766</v>
      </c>
      <c r="E80" s="17">
        <v>1004</v>
      </c>
      <c r="F80" s="14">
        <f t="shared" si="25"/>
        <v>238</v>
      </c>
      <c r="G80" s="2"/>
      <c r="H80" s="2">
        <f t="shared" ref="H80:H83" si="26">F80</f>
        <v>238</v>
      </c>
      <c r="I80" s="2"/>
      <c r="J80" s="2"/>
      <c r="L80" s="7" t="str">
        <f t="shared" si="9"/>
        <v>boletins-000003-766</v>
      </c>
      <c r="M80" s="3" t="str">
        <f t="shared" si="10"/>
        <v>boletins-000003-1004</v>
      </c>
      <c r="N80" s="8" t="str">
        <f t="shared" si="20"/>
        <v>Treino</v>
      </c>
    </row>
    <row r="81" spans="1:14" x14ac:dyDescent="0.3">
      <c r="A81" s="17" t="s">
        <v>6</v>
      </c>
      <c r="B81" s="17" t="s">
        <v>14</v>
      </c>
      <c r="C81" s="17" t="s">
        <v>105</v>
      </c>
      <c r="D81" s="17">
        <v>1147</v>
      </c>
      <c r="E81" s="17">
        <v>1320</v>
      </c>
      <c r="F81" s="14">
        <f t="shared" si="25"/>
        <v>173</v>
      </c>
      <c r="G81" s="2"/>
      <c r="H81" s="2">
        <f t="shared" si="26"/>
        <v>173</v>
      </c>
      <c r="I81" s="2"/>
      <c r="J81" s="2"/>
      <c r="L81" s="7" t="str">
        <f t="shared" si="9"/>
        <v>boletins-000003-1147</v>
      </c>
      <c r="M81" s="3" t="str">
        <f t="shared" si="10"/>
        <v>boletins-000003-1320</v>
      </c>
      <c r="N81" s="8" t="str">
        <f t="shared" si="20"/>
        <v>Treino</v>
      </c>
    </row>
    <row r="82" spans="1:14" x14ac:dyDescent="0.3">
      <c r="A82" s="17" t="s">
        <v>6</v>
      </c>
      <c r="B82" s="17" t="s">
        <v>14</v>
      </c>
      <c r="C82" s="17" t="s">
        <v>106</v>
      </c>
      <c r="D82" s="17">
        <v>1401</v>
      </c>
      <c r="E82" s="17">
        <v>1665</v>
      </c>
      <c r="F82" s="14">
        <f t="shared" si="25"/>
        <v>264</v>
      </c>
      <c r="G82" s="2"/>
      <c r="H82" s="2">
        <f t="shared" si="26"/>
        <v>264</v>
      </c>
      <c r="I82" s="2"/>
      <c r="J82" s="2"/>
      <c r="L82" s="7" t="str">
        <f t="shared" ref="L82:L108" si="27">A82&amp;"-"&amp;D82</f>
        <v>boletins-000003-1401</v>
      </c>
      <c r="M82" s="3" t="str">
        <f t="shared" ref="M82:M108" si="28">A82&amp;"-"&amp;E82</f>
        <v>boletins-000003-1665</v>
      </c>
      <c r="N82" s="8" t="str">
        <f t="shared" si="20"/>
        <v>Treino</v>
      </c>
    </row>
    <row r="83" spans="1:14" x14ac:dyDescent="0.3">
      <c r="A83" s="17" t="s">
        <v>6</v>
      </c>
      <c r="B83" s="17" t="s">
        <v>14</v>
      </c>
      <c r="C83" s="17" t="s">
        <v>107</v>
      </c>
      <c r="D83" s="17">
        <v>1819</v>
      </c>
      <c r="E83" s="17">
        <v>2170</v>
      </c>
      <c r="F83" s="14">
        <f t="shared" si="25"/>
        <v>351</v>
      </c>
      <c r="G83" s="2"/>
      <c r="H83" s="2">
        <f t="shared" si="26"/>
        <v>351</v>
      </c>
      <c r="I83" s="2"/>
      <c r="J83" s="2"/>
      <c r="L83" s="7" t="str">
        <f t="shared" si="27"/>
        <v>boletins-000003-1819</v>
      </c>
      <c r="M83" s="3" t="str">
        <f t="shared" si="28"/>
        <v>boletins-000003-2170</v>
      </c>
      <c r="N83" s="8" t="str">
        <f t="shared" si="20"/>
        <v>Treino</v>
      </c>
    </row>
    <row r="84" spans="1:14" x14ac:dyDescent="0.3">
      <c r="A84" s="17" t="s">
        <v>6</v>
      </c>
      <c r="B84" s="17" t="s">
        <v>14</v>
      </c>
      <c r="C84" s="17" t="s">
        <v>108</v>
      </c>
      <c r="D84" s="17">
        <v>2382</v>
      </c>
      <c r="E84" s="17">
        <v>2612</v>
      </c>
      <c r="F84" s="14">
        <f t="shared" si="25"/>
        <v>230</v>
      </c>
      <c r="G84" s="2"/>
      <c r="H84" s="2"/>
      <c r="I84" s="2"/>
      <c r="J84" s="2">
        <f>F84</f>
        <v>230</v>
      </c>
      <c r="L84" s="7" t="str">
        <f t="shared" si="27"/>
        <v>boletins-000003-2382</v>
      </c>
      <c r="M84" s="3" t="str">
        <f t="shared" si="28"/>
        <v>boletins-000003-2612</v>
      </c>
      <c r="N84" s="8" t="str">
        <f t="shared" si="20"/>
        <v>Teste</v>
      </c>
    </row>
    <row r="85" spans="1:14" x14ac:dyDescent="0.3">
      <c r="A85" s="17" t="s">
        <v>8</v>
      </c>
      <c r="B85" s="17" t="s">
        <v>19</v>
      </c>
      <c r="C85" s="17" t="s">
        <v>109</v>
      </c>
      <c r="D85" s="17">
        <v>1</v>
      </c>
      <c r="E85" s="17">
        <v>111</v>
      </c>
      <c r="F85" s="14">
        <f t="shared" si="25"/>
        <v>110</v>
      </c>
      <c r="G85" s="2"/>
      <c r="H85" s="2"/>
      <c r="I85" s="2">
        <f>F85</f>
        <v>110</v>
      </c>
      <c r="J85" s="2"/>
      <c r="L85" s="7" t="str">
        <f t="shared" si="27"/>
        <v>boletins-000010-1</v>
      </c>
      <c r="M85" s="3" t="str">
        <f t="shared" si="28"/>
        <v>boletins-000010-111</v>
      </c>
      <c r="N85" s="8" t="str">
        <f t="shared" si="20"/>
        <v>Validação</v>
      </c>
    </row>
    <row r="86" spans="1:14" x14ac:dyDescent="0.3">
      <c r="A86" s="17" t="s">
        <v>8</v>
      </c>
      <c r="B86" s="17" t="s">
        <v>19</v>
      </c>
      <c r="C86" s="17" t="s">
        <v>110</v>
      </c>
      <c r="D86" s="17">
        <v>222</v>
      </c>
      <c r="E86" s="17">
        <v>355</v>
      </c>
      <c r="F86" s="14">
        <f t="shared" si="25"/>
        <v>133</v>
      </c>
      <c r="G86" s="11"/>
      <c r="H86" s="2">
        <f t="shared" ref="H86:H87" si="29">F86</f>
        <v>133</v>
      </c>
      <c r="I86" s="2"/>
      <c r="J86" s="2"/>
      <c r="L86" s="7" t="str">
        <f t="shared" si="27"/>
        <v>boletins-000010-222</v>
      </c>
      <c r="M86" s="3" t="str">
        <f t="shared" si="28"/>
        <v>boletins-000010-355</v>
      </c>
      <c r="N86" s="8" t="str">
        <f t="shared" si="20"/>
        <v>Treino</v>
      </c>
    </row>
    <row r="87" spans="1:14" x14ac:dyDescent="0.3">
      <c r="A87" s="17" t="s">
        <v>8</v>
      </c>
      <c r="B87" s="17" t="s">
        <v>19</v>
      </c>
      <c r="C87" s="17" t="s">
        <v>111</v>
      </c>
      <c r="D87" s="17">
        <v>418</v>
      </c>
      <c r="E87" s="17">
        <v>598</v>
      </c>
      <c r="F87" s="14">
        <f t="shared" ref="F87:F101" si="30">E87-D87</f>
        <v>180</v>
      </c>
      <c r="G87" s="11"/>
      <c r="H87" s="2">
        <f t="shared" si="29"/>
        <v>180</v>
      </c>
      <c r="I87" s="2"/>
      <c r="J87" s="2"/>
      <c r="L87" s="7" t="str">
        <f t="shared" si="27"/>
        <v>boletins-000010-418</v>
      </c>
      <c r="M87" s="3" t="str">
        <f t="shared" si="28"/>
        <v>boletins-000010-598</v>
      </c>
      <c r="N87" s="8" t="str">
        <f t="shared" si="20"/>
        <v>Treino</v>
      </c>
    </row>
    <row r="88" spans="1:14" x14ac:dyDescent="0.3">
      <c r="A88" s="17" t="s">
        <v>8</v>
      </c>
      <c r="B88" s="17" t="s">
        <v>19</v>
      </c>
      <c r="C88" s="17" t="s">
        <v>112</v>
      </c>
      <c r="D88" s="17">
        <v>672</v>
      </c>
      <c r="E88" s="17">
        <v>910</v>
      </c>
      <c r="F88" s="14">
        <f t="shared" si="30"/>
        <v>238</v>
      </c>
      <c r="G88" s="11"/>
      <c r="H88" s="2">
        <f>F88</f>
        <v>238</v>
      </c>
      <c r="I88" s="2"/>
      <c r="J88" s="2"/>
      <c r="L88" s="7" t="str">
        <f t="shared" si="27"/>
        <v>boletins-000010-672</v>
      </c>
      <c r="M88" s="3" t="str">
        <f t="shared" si="28"/>
        <v>boletins-000010-910</v>
      </c>
      <c r="N88" s="8" t="str">
        <f t="shared" si="20"/>
        <v>Treino</v>
      </c>
    </row>
    <row r="89" spans="1:14" x14ac:dyDescent="0.3">
      <c r="A89" s="17" t="s">
        <v>8</v>
      </c>
      <c r="B89" s="17" t="s">
        <v>19</v>
      </c>
      <c r="C89" s="17" t="s">
        <v>113</v>
      </c>
      <c r="D89" s="17">
        <v>1029</v>
      </c>
      <c r="E89" s="17">
        <v>1095</v>
      </c>
      <c r="F89" s="14">
        <f t="shared" si="30"/>
        <v>66</v>
      </c>
      <c r="G89" s="11"/>
      <c r="H89" s="2">
        <f t="shared" ref="H89:H91" si="31">F89</f>
        <v>66</v>
      </c>
      <c r="I89" s="2"/>
      <c r="J89" s="2"/>
      <c r="L89" s="7" t="str">
        <f t="shared" si="27"/>
        <v>boletins-000010-1029</v>
      </c>
      <c r="M89" s="3" t="str">
        <f t="shared" si="28"/>
        <v>boletins-000010-1095</v>
      </c>
      <c r="N89" s="8" t="str">
        <f t="shared" si="20"/>
        <v>Treino</v>
      </c>
    </row>
    <row r="90" spans="1:14" x14ac:dyDescent="0.3">
      <c r="A90" s="17" t="s">
        <v>8</v>
      </c>
      <c r="B90" s="17" t="s">
        <v>19</v>
      </c>
      <c r="C90" s="17" t="s">
        <v>114</v>
      </c>
      <c r="D90" s="17">
        <v>1173</v>
      </c>
      <c r="E90" s="17">
        <v>1203</v>
      </c>
      <c r="F90" s="14">
        <f t="shared" si="30"/>
        <v>30</v>
      </c>
      <c r="G90" s="11"/>
      <c r="H90" s="2">
        <f t="shared" si="31"/>
        <v>30</v>
      </c>
      <c r="I90" s="2"/>
      <c r="J90" s="2"/>
      <c r="L90" s="7" t="str">
        <f t="shared" si="27"/>
        <v>boletins-000010-1173</v>
      </c>
      <c r="M90" s="3" t="str">
        <f t="shared" si="28"/>
        <v>boletins-000010-1203</v>
      </c>
      <c r="N90" s="8" t="str">
        <f t="shared" si="20"/>
        <v>Treino</v>
      </c>
    </row>
    <row r="91" spans="1:14" x14ac:dyDescent="0.3">
      <c r="A91" s="17" t="s">
        <v>8</v>
      </c>
      <c r="B91" s="17" t="s">
        <v>19</v>
      </c>
      <c r="C91" s="17" t="s">
        <v>115</v>
      </c>
      <c r="D91" s="17">
        <v>1230</v>
      </c>
      <c r="E91" s="17">
        <v>1278</v>
      </c>
      <c r="F91" s="14">
        <f t="shared" si="30"/>
        <v>48</v>
      </c>
      <c r="G91" s="11"/>
      <c r="H91" s="2">
        <f t="shared" si="31"/>
        <v>48</v>
      </c>
      <c r="I91" s="2"/>
      <c r="J91" s="2"/>
      <c r="L91" s="7" t="str">
        <f>A91&amp;"-"&amp;D91</f>
        <v>boletins-000010-1230</v>
      </c>
      <c r="M91" s="3" t="str">
        <f>A91&amp;"-"&amp;E91</f>
        <v>boletins-000010-1278</v>
      </c>
      <c r="N91" s="8" t="str">
        <f t="shared" si="20"/>
        <v>Treino</v>
      </c>
    </row>
    <row r="92" spans="1:14" x14ac:dyDescent="0.3">
      <c r="A92" s="17" t="s">
        <v>8</v>
      </c>
      <c r="B92" s="17" t="s">
        <v>19</v>
      </c>
      <c r="C92" s="17" t="s">
        <v>116</v>
      </c>
      <c r="D92" s="17">
        <v>1340</v>
      </c>
      <c r="E92" s="17">
        <v>1374</v>
      </c>
      <c r="F92" s="14">
        <f t="shared" si="30"/>
        <v>34</v>
      </c>
      <c r="G92" s="2"/>
      <c r="H92" s="2"/>
      <c r="I92" s="2"/>
      <c r="J92" s="2">
        <f>F92</f>
        <v>34</v>
      </c>
      <c r="L92" s="7" t="e">
        <f>A92&amp;"-"&amp;#REF!</f>
        <v>#REF!</v>
      </c>
      <c r="M92" s="3" t="str">
        <f t="shared" si="28"/>
        <v>boletins-000010-1374</v>
      </c>
      <c r="N92" s="8" t="str">
        <f t="shared" ref="N92:N108" si="32">IF(H92&gt;0,"Treino",IF(I92&gt;0,"Validação","Teste"))</f>
        <v>Teste</v>
      </c>
    </row>
    <row r="93" spans="1:14" x14ac:dyDescent="0.3">
      <c r="A93" s="17" t="s">
        <v>8</v>
      </c>
      <c r="B93" s="17" t="s">
        <v>19</v>
      </c>
      <c r="C93" s="17" t="s">
        <v>117</v>
      </c>
      <c r="D93" s="17">
        <v>1437</v>
      </c>
      <c r="E93" s="17">
        <v>1456</v>
      </c>
      <c r="F93" s="14">
        <f t="shared" si="30"/>
        <v>19</v>
      </c>
      <c r="G93" s="11"/>
      <c r="H93" s="2"/>
      <c r="I93" s="2">
        <f>F93</f>
        <v>19</v>
      </c>
      <c r="J93" s="2"/>
      <c r="L93" s="7" t="str">
        <f t="shared" si="27"/>
        <v>boletins-000010-1437</v>
      </c>
      <c r="M93" s="3" t="str">
        <f t="shared" si="28"/>
        <v>boletins-000010-1456</v>
      </c>
      <c r="N93" s="8" t="str">
        <f t="shared" si="32"/>
        <v>Validação</v>
      </c>
    </row>
    <row r="94" spans="1:14" x14ac:dyDescent="0.3">
      <c r="A94" s="17" t="s">
        <v>8</v>
      </c>
      <c r="B94" s="17" t="s">
        <v>19</v>
      </c>
      <c r="C94" s="17" t="s">
        <v>118</v>
      </c>
      <c r="D94" s="17">
        <v>1474</v>
      </c>
      <c r="E94" s="17">
        <v>1509</v>
      </c>
      <c r="F94" s="14">
        <f t="shared" si="30"/>
        <v>35</v>
      </c>
      <c r="G94" s="2"/>
      <c r="H94" s="2"/>
      <c r="I94" s="2">
        <f>F94</f>
        <v>35</v>
      </c>
      <c r="J94" s="2"/>
      <c r="L94" s="7" t="str">
        <f t="shared" si="27"/>
        <v>boletins-000010-1474</v>
      </c>
      <c r="M94" s="3" t="str">
        <f t="shared" si="28"/>
        <v>boletins-000010-1509</v>
      </c>
      <c r="N94" s="8" t="str">
        <f t="shared" si="32"/>
        <v>Validação</v>
      </c>
    </row>
    <row r="95" spans="1:14" x14ac:dyDescent="0.3">
      <c r="A95" s="17" t="s">
        <v>8</v>
      </c>
      <c r="B95" s="17" t="s">
        <v>19</v>
      </c>
      <c r="C95" s="17" t="s">
        <v>119</v>
      </c>
      <c r="D95" s="17">
        <v>1537</v>
      </c>
      <c r="E95" s="17">
        <v>1644</v>
      </c>
      <c r="F95" s="14">
        <f t="shared" si="30"/>
        <v>107</v>
      </c>
      <c r="G95" s="11"/>
      <c r="H95" s="2">
        <f>F95</f>
        <v>107</v>
      </c>
      <c r="I95" s="2"/>
      <c r="J95" s="2"/>
      <c r="L95" s="7" t="str">
        <f t="shared" si="27"/>
        <v>boletins-000010-1537</v>
      </c>
      <c r="M95" s="3" t="str">
        <f t="shared" si="28"/>
        <v>boletins-000010-1644</v>
      </c>
      <c r="N95" s="8" t="str">
        <f t="shared" si="32"/>
        <v>Treino</v>
      </c>
    </row>
    <row r="96" spans="1:14" x14ac:dyDescent="0.3">
      <c r="A96" s="17" t="s">
        <v>8</v>
      </c>
      <c r="B96" s="17" t="s">
        <v>19</v>
      </c>
      <c r="C96" s="17" t="s">
        <v>120</v>
      </c>
      <c r="D96" s="17">
        <v>1714</v>
      </c>
      <c r="E96" s="17">
        <v>1750</v>
      </c>
      <c r="F96" s="14">
        <f t="shared" si="30"/>
        <v>36</v>
      </c>
      <c r="G96" s="11"/>
      <c r="H96" s="2">
        <f>F96</f>
        <v>36</v>
      </c>
      <c r="I96" s="2"/>
      <c r="J96" s="2"/>
      <c r="L96" s="7" t="str">
        <f t="shared" si="27"/>
        <v>boletins-000010-1714</v>
      </c>
      <c r="M96" s="3" t="str">
        <f t="shared" si="28"/>
        <v>boletins-000010-1750</v>
      </c>
      <c r="N96" s="8" t="str">
        <f t="shared" si="32"/>
        <v>Treino</v>
      </c>
    </row>
    <row r="97" spans="1:14" x14ac:dyDescent="0.3">
      <c r="A97" s="17" t="s">
        <v>8</v>
      </c>
      <c r="B97" s="17" t="s">
        <v>19</v>
      </c>
      <c r="C97" s="17" t="s">
        <v>121</v>
      </c>
      <c r="D97" s="17">
        <v>1772</v>
      </c>
      <c r="E97" s="17">
        <v>1804</v>
      </c>
      <c r="F97" s="14">
        <f t="shared" si="30"/>
        <v>32</v>
      </c>
      <c r="G97" s="11"/>
      <c r="H97" s="2">
        <f t="shared" ref="H97:H99" si="33">F97</f>
        <v>32</v>
      </c>
      <c r="I97" s="2"/>
      <c r="J97" s="2"/>
      <c r="L97" s="7" t="str">
        <f t="shared" si="27"/>
        <v>boletins-000010-1772</v>
      </c>
      <c r="M97" s="3" t="str">
        <f t="shared" si="28"/>
        <v>boletins-000010-1804</v>
      </c>
      <c r="N97" s="8" t="str">
        <f t="shared" si="32"/>
        <v>Treino</v>
      </c>
    </row>
    <row r="98" spans="1:14" x14ac:dyDescent="0.3">
      <c r="A98" s="17" t="s">
        <v>8</v>
      </c>
      <c r="B98" s="17" t="s">
        <v>19</v>
      </c>
      <c r="C98" s="17" t="s">
        <v>122</v>
      </c>
      <c r="D98" s="17">
        <v>1855</v>
      </c>
      <c r="E98" s="17">
        <v>1916</v>
      </c>
      <c r="F98" s="14">
        <f t="shared" si="30"/>
        <v>61</v>
      </c>
      <c r="G98" s="11"/>
      <c r="H98" s="2">
        <f t="shared" si="33"/>
        <v>61</v>
      </c>
      <c r="I98" s="2"/>
      <c r="J98" s="2"/>
      <c r="L98" s="7" t="str">
        <f t="shared" si="27"/>
        <v>boletins-000010-1855</v>
      </c>
      <c r="M98" s="3" t="str">
        <f t="shared" si="28"/>
        <v>boletins-000010-1916</v>
      </c>
      <c r="N98" s="8" t="str">
        <f t="shared" si="32"/>
        <v>Treino</v>
      </c>
    </row>
    <row r="99" spans="1:14" x14ac:dyDescent="0.3">
      <c r="A99" s="17" t="s">
        <v>8</v>
      </c>
      <c r="B99" s="17" t="s">
        <v>19</v>
      </c>
      <c r="C99" s="17" t="s">
        <v>123</v>
      </c>
      <c r="D99" s="17">
        <v>1952</v>
      </c>
      <c r="E99" s="17">
        <v>1979</v>
      </c>
      <c r="F99" s="14">
        <f t="shared" si="30"/>
        <v>27</v>
      </c>
      <c r="G99" s="11"/>
      <c r="H99" s="2">
        <f t="shared" si="33"/>
        <v>27</v>
      </c>
      <c r="I99" s="2"/>
      <c r="J99" s="2"/>
      <c r="L99" s="7" t="str">
        <f t="shared" si="27"/>
        <v>boletins-000010-1952</v>
      </c>
      <c r="M99" s="3" t="str">
        <f t="shared" si="28"/>
        <v>boletins-000010-1979</v>
      </c>
      <c r="N99" s="8" t="str">
        <f t="shared" si="32"/>
        <v>Treino</v>
      </c>
    </row>
    <row r="100" spans="1:14" x14ac:dyDescent="0.3">
      <c r="A100" s="17" t="s">
        <v>1</v>
      </c>
      <c r="B100" s="17" t="s">
        <v>18</v>
      </c>
      <c r="C100" s="17" t="s">
        <v>124</v>
      </c>
      <c r="D100" s="17">
        <v>2</v>
      </c>
      <c r="E100" s="17">
        <v>197</v>
      </c>
      <c r="F100" s="14">
        <f t="shared" si="30"/>
        <v>195</v>
      </c>
      <c r="G100" s="2"/>
      <c r="H100" s="2"/>
      <c r="I100" s="2"/>
      <c r="J100" s="2">
        <f>F100</f>
        <v>195</v>
      </c>
      <c r="L100" s="7" t="str">
        <f t="shared" si="27"/>
        <v>boletins-000006-2</v>
      </c>
      <c r="M100" s="3" t="str">
        <f t="shared" si="28"/>
        <v>boletins-000006-197</v>
      </c>
      <c r="N100" s="8" t="str">
        <f t="shared" si="32"/>
        <v>Teste</v>
      </c>
    </row>
    <row r="101" spans="1:14" x14ac:dyDescent="0.3">
      <c r="A101" s="17" t="s">
        <v>1</v>
      </c>
      <c r="B101" s="17" t="s">
        <v>18</v>
      </c>
      <c r="C101" s="17" t="s">
        <v>125</v>
      </c>
      <c r="D101" s="17">
        <v>407</v>
      </c>
      <c r="E101" s="17">
        <v>505</v>
      </c>
      <c r="F101" s="14">
        <f t="shared" si="30"/>
        <v>98</v>
      </c>
      <c r="G101" s="2"/>
      <c r="H101" s="2"/>
      <c r="I101" s="2"/>
      <c r="J101" s="2">
        <f>F101</f>
        <v>98</v>
      </c>
      <c r="L101" s="7" t="str">
        <f t="shared" si="27"/>
        <v>boletins-000006-407</v>
      </c>
      <c r="M101" s="3" t="str">
        <f t="shared" si="28"/>
        <v>boletins-000006-505</v>
      </c>
      <c r="N101" s="8" t="str">
        <f t="shared" si="32"/>
        <v>Teste</v>
      </c>
    </row>
    <row r="102" spans="1:14" x14ac:dyDescent="0.3">
      <c r="A102" s="17" t="s">
        <v>1</v>
      </c>
      <c r="B102" s="17" t="s">
        <v>18</v>
      </c>
      <c r="C102" s="17" t="s">
        <v>126</v>
      </c>
      <c r="D102" s="17">
        <v>614</v>
      </c>
      <c r="E102" s="17">
        <v>821</v>
      </c>
      <c r="F102" s="14">
        <f t="shared" ref="F102:F108" si="34">E102-D102</f>
        <v>207</v>
      </c>
      <c r="G102" s="2"/>
      <c r="H102" s="2"/>
      <c r="I102" s="2">
        <f>F102</f>
        <v>207</v>
      </c>
      <c r="J102" s="2"/>
      <c r="L102" s="7" t="str">
        <f t="shared" si="27"/>
        <v>boletins-000006-614</v>
      </c>
      <c r="M102" s="3" t="str">
        <f t="shared" si="28"/>
        <v>boletins-000006-821</v>
      </c>
      <c r="N102" s="8" t="str">
        <f t="shared" si="32"/>
        <v>Validação</v>
      </c>
    </row>
    <row r="103" spans="1:14" x14ac:dyDescent="0.3">
      <c r="A103" s="17" t="s">
        <v>1</v>
      </c>
      <c r="B103" s="17" t="s">
        <v>18</v>
      </c>
      <c r="C103" s="17" t="s">
        <v>127</v>
      </c>
      <c r="D103" s="17">
        <v>880</v>
      </c>
      <c r="E103" s="17">
        <v>1017</v>
      </c>
      <c r="F103" s="14">
        <f t="shared" si="34"/>
        <v>137</v>
      </c>
      <c r="G103" s="2"/>
      <c r="H103" s="2">
        <f>F103</f>
        <v>137</v>
      </c>
      <c r="I103" s="2"/>
      <c r="J103" s="2"/>
      <c r="L103" s="7" t="str">
        <f t="shared" si="27"/>
        <v>boletins-000006-880</v>
      </c>
      <c r="M103" s="3" t="str">
        <f t="shared" si="28"/>
        <v>boletins-000006-1017</v>
      </c>
      <c r="N103" s="8" t="str">
        <f t="shared" si="32"/>
        <v>Treino</v>
      </c>
    </row>
    <row r="104" spans="1:14" x14ac:dyDescent="0.3">
      <c r="A104" s="17" t="s">
        <v>1</v>
      </c>
      <c r="B104" s="17" t="s">
        <v>18</v>
      </c>
      <c r="C104" s="17" t="s">
        <v>128</v>
      </c>
      <c r="D104" s="17">
        <v>1126</v>
      </c>
      <c r="E104" s="17">
        <v>1298</v>
      </c>
      <c r="F104" s="14">
        <f t="shared" si="34"/>
        <v>172</v>
      </c>
      <c r="G104" s="2"/>
      <c r="H104" s="2">
        <f>F104</f>
        <v>172</v>
      </c>
      <c r="I104" s="2"/>
      <c r="J104" s="2"/>
      <c r="L104" s="7" t="str">
        <f t="shared" si="27"/>
        <v>boletins-000006-1126</v>
      </c>
      <c r="M104" s="3" t="str">
        <f t="shared" si="28"/>
        <v>boletins-000006-1298</v>
      </c>
      <c r="N104" s="8" t="str">
        <f t="shared" si="32"/>
        <v>Treino</v>
      </c>
    </row>
    <row r="105" spans="1:14" x14ac:dyDescent="0.3">
      <c r="A105" s="17" t="s">
        <v>1</v>
      </c>
      <c r="B105" s="17" t="s">
        <v>18</v>
      </c>
      <c r="C105" s="17" t="s">
        <v>129</v>
      </c>
      <c r="D105" s="17">
        <v>1488</v>
      </c>
      <c r="E105" s="17">
        <v>1640</v>
      </c>
      <c r="F105" s="14">
        <f t="shared" si="34"/>
        <v>152</v>
      </c>
      <c r="G105" s="2"/>
      <c r="H105" s="2">
        <f>F105</f>
        <v>152</v>
      </c>
      <c r="I105" s="2"/>
      <c r="J105" s="2"/>
      <c r="L105" s="7" t="str">
        <f t="shared" si="27"/>
        <v>boletins-000006-1488</v>
      </c>
      <c r="M105" s="3" t="str">
        <f t="shared" si="28"/>
        <v>boletins-000006-1640</v>
      </c>
      <c r="N105" s="8" t="str">
        <f t="shared" si="32"/>
        <v>Treino</v>
      </c>
    </row>
    <row r="106" spans="1:14" x14ac:dyDescent="0.3">
      <c r="A106" s="17" t="s">
        <v>1</v>
      </c>
      <c r="B106" s="17" t="s">
        <v>18</v>
      </c>
      <c r="C106" s="17" t="s">
        <v>130</v>
      </c>
      <c r="D106" s="17">
        <v>1717</v>
      </c>
      <c r="E106" s="17">
        <v>2000</v>
      </c>
      <c r="F106" s="14">
        <f t="shared" si="34"/>
        <v>283</v>
      </c>
      <c r="G106" s="2"/>
      <c r="H106" s="2">
        <f t="shared" ref="H106:H108" si="35">F106</f>
        <v>283</v>
      </c>
      <c r="I106" s="2"/>
      <c r="J106" s="2"/>
      <c r="L106" s="7" t="str">
        <f t="shared" si="27"/>
        <v>boletins-000006-1717</v>
      </c>
      <c r="M106" s="3" t="str">
        <f t="shared" si="28"/>
        <v>boletins-000006-2000</v>
      </c>
      <c r="N106" s="8" t="str">
        <f t="shared" si="32"/>
        <v>Treino</v>
      </c>
    </row>
    <row r="107" spans="1:14" x14ac:dyDescent="0.3">
      <c r="A107" s="17" t="s">
        <v>1</v>
      </c>
      <c r="B107" s="17" t="s">
        <v>18</v>
      </c>
      <c r="C107" s="17" t="s">
        <v>131</v>
      </c>
      <c r="D107" s="17">
        <v>2092</v>
      </c>
      <c r="E107" s="17">
        <v>2213</v>
      </c>
      <c r="F107" s="14">
        <f t="shared" si="34"/>
        <v>121</v>
      </c>
      <c r="G107" s="2"/>
      <c r="H107" s="2">
        <f t="shared" si="35"/>
        <v>121</v>
      </c>
      <c r="I107" s="2"/>
      <c r="J107" s="2"/>
      <c r="L107" s="7" t="str">
        <f t="shared" si="27"/>
        <v>boletins-000006-2092</v>
      </c>
      <c r="M107" s="3" t="str">
        <f t="shared" si="28"/>
        <v>boletins-000006-2213</v>
      </c>
      <c r="N107" s="8" t="str">
        <f t="shared" si="32"/>
        <v>Treino</v>
      </c>
    </row>
    <row r="108" spans="1:14" x14ac:dyDescent="0.3">
      <c r="A108" s="17" t="s">
        <v>1</v>
      </c>
      <c r="B108" s="17" t="s">
        <v>18</v>
      </c>
      <c r="C108" s="17" t="s">
        <v>132</v>
      </c>
      <c r="D108" s="17">
        <v>2278</v>
      </c>
      <c r="E108" s="17">
        <v>2457</v>
      </c>
      <c r="F108" s="14">
        <f t="shared" si="34"/>
        <v>179</v>
      </c>
      <c r="G108" s="2"/>
      <c r="H108" s="2">
        <f t="shared" si="35"/>
        <v>179</v>
      </c>
      <c r="I108" s="2"/>
      <c r="J108" s="2"/>
      <c r="L108" s="7" t="str">
        <f t="shared" si="27"/>
        <v>boletins-000006-2278</v>
      </c>
      <c r="M108" s="3" t="str">
        <f t="shared" si="28"/>
        <v>boletins-000006-2457</v>
      </c>
      <c r="N108" s="8" t="str">
        <f t="shared" si="32"/>
        <v>Treino</v>
      </c>
    </row>
    <row r="109" spans="1:14" x14ac:dyDescent="0.3">
      <c r="F109" s="14"/>
      <c r="G109" s="2"/>
      <c r="H109" s="2"/>
      <c r="I109" s="2"/>
      <c r="J109" s="2"/>
    </row>
    <row r="110" spans="1:14" x14ac:dyDescent="0.3">
      <c r="A110" s="16"/>
      <c r="B110" s="16"/>
      <c r="C110" s="16"/>
      <c r="D110" s="16"/>
      <c r="E110" s="16"/>
      <c r="F110" s="15"/>
      <c r="G110" s="1"/>
      <c r="H110" s="9"/>
      <c r="I110" s="9"/>
      <c r="J110" s="9"/>
    </row>
    <row r="111" spans="1:14" x14ac:dyDescent="0.3">
      <c r="A111" s="18"/>
      <c r="B111" s="16"/>
      <c r="C111" s="16"/>
      <c r="D111" s="16"/>
      <c r="E111" s="16"/>
      <c r="F111" s="15"/>
      <c r="G111" s="1"/>
      <c r="H111" s="10"/>
      <c r="I111" s="10"/>
      <c r="J111" s="10"/>
    </row>
    <row r="112" spans="1:14" x14ac:dyDescent="0.3">
      <c r="A112" s="18"/>
      <c r="B112" s="16"/>
      <c r="C112" s="16"/>
      <c r="D112" s="16"/>
      <c r="E112" s="16"/>
      <c r="F112" s="15"/>
      <c r="G112" s="1"/>
      <c r="H112" s="1"/>
      <c r="I112" s="1"/>
      <c r="J112" s="1"/>
    </row>
    <row r="113" spans="1:10" x14ac:dyDescent="0.3">
      <c r="A113" s="18"/>
      <c r="B113" s="16"/>
      <c r="C113" s="16"/>
      <c r="D113" s="16"/>
      <c r="E113" s="16"/>
      <c r="F113" s="15"/>
      <c r="G113" s="1"/>
      <c r="H113" s="1"/>
      <c r="I113" s="1"/>
      <c r="J113" s="1"/>
    </row>
  </sheetData>
  <phoneticPr fontId="4" type="noConversion"/>
  <conditionalFormatting sqref="F5:F108">
    <cfRule type="cellIs" dxfId="0" priority="1" operator="lessThan">
      <formula>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>Petrobras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Correa Cordeiro</dc:creator>
  <cp:lastModifiedBy>Laura Milena Parra Navarro</cp:lastModifiedBy>
  <dcterms:created xsi:type="dcterms:W3CDTF">2023-01-13T12:48:24Z</dcterms:created>
  <dcterms:modified xsi:type="dcterms:W3CDTF">2026-05-21T01:22:20Z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2023-01-13T15:05:23Z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f88c31c0-231d-4360-bc1b-d5a71b082651</vt:lpwstr>
  </property>
  <property fmtid="{D5CDD505-2E9C-101B-9397-08002B2CF9AE}" pid="8" name="MSIP_Label_140b9f7d-8e3a-482f-9702-4b7ffc40985a_ContentBits">
    <vt:lpwstr>2</vt:lpwstr>
  </property>
</Properties>
</file>